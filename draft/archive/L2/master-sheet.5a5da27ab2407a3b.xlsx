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orysimms/Documents/Home/Fantasy Football/"/>
    </mc:Choice>
  </mc:AlternateContent>
  <xr:revisionPtr revIDLastSave="0" documentId="13_ncr:1_{6BE14471-9666-BB4A-93E3-51EEE6D20AB0}" xr6:coauthVersionLast="47" xr6:coauthVersionMax="47" xr10:uidLastSave="{00000000-0000-0000-0000-000000000000}"/>
  <bookViews>
    <workbookView xWindow="0" yWindow="760" windowWidth="28800" windowHeight="15840" activeTab="1" xr2:uid="{026EB494-4890-074D-A753-06273E32DF47}"/>
  </bookViews>
  <sheets>
    <sheet name="Total Winnings" sheetId="1" r:id="rId1"/>
    <sheet name="Payments" sheetId="15" r:id="rId2"/>
    <sheet name="Votes" sheetId="2" r:id="rId3"/>
    <sheet name="Rules-Roster" sheetId="11" r:id="rId4"/>
    <sheet name="2027" sheetId="23" r:id="rId5"/>
    <sheet name="2026" sheetId="22" r:id="rId6"/>
    <sheet name="2025" sheetId="21" r:id="rId7"/>
    <sheet name="2024" sheetId="17" r:id="rId8"/>
    <sheet name="2023" sheetId="16" r:id="rId9"/>
    <sheet name="2022" sheetId="4" r:id="rId10"/>
    <sheet name="2021" sheetId="5" r:id="rId11"/>
    <sheet name="2020" sheetId="6" r:id="rId12"/>
    <sheet name="2019" sheetId="7" r:id="rId13"/>
    <sheet name="2018" sheetId="12" r:id="rId14"/>
    <sheet name="2017" sheetId="13" r:id="rId15"/>
    <sheet name="2016" sheetId="14" r:id="rId16"/>
    <sheet name="Sheet2" sheetId="20" state="hidden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4" i="15" l="1"/>
  <c r="O11" i="1"/>
  <c r="O10" i="1"/>
  <c r="O9" i="1"/>
  <c r="O8" i="1"/>
  <c r="O7" i="1"/>
  <c r="O5" i="1"/>
  <c r="O4" i="1"/>
  <c r="O3" i="1"/>
  <c r="O2" i="1"/>
  <c r="M12" i="23"/>
  <c r="L12" i="23"/>
  <c r="K12" i="23"/>
  <c r="N11" i="23"/>
  <c r="N10" i="23"/>
  <c r="N9" i="23"/>
  <c r="N8" i="23"/>
  <c r="C8" i="23"/>
  <c r="N7" i="23"/>
  <c r="N6" i="23"/>
  <c r="N5" i="23"/>
  <c r="N4" i="23"/>
  <c r="H4" i="23"/>
  <c r="F4" i="23"/>
  <c r="C7" i="23" s="1"/>
  <c r="C4" i="23"/>
  <c r="N3" i="23"/>
  <c r="F3" i="23"/>
  <c r="N2" i="23"/>
  <c r="N12" i="23" s="1"/>
  <c r="B12" i="15"/>
  <c r="M12" i="22"/>
  <c r="L12" i="22"/>
  <c r="K12" i="22"/>
  <c r="N11" i="22"/>
  <c r="N10" i="22"/>
  <c r="N9" i="22"/>
  <c r="N8" i="22"/>
  <c r="N7" i="22"/>
  <c r="N6" i="22"/>
  <c r="N5" i="22"/>
  <c r="N4" i="22"/>
  <c r="H4" i="22"/>
  <c r="F4" i="22"/>
  <c r="C7" i="22" s="1"/>
  <c r="C4" i="22"/>
  <c r="N3" i="22"/>
  <c r="F3" i="22"/>
  <c r="C3" i="22"/>
  <c r="N2" i="22"/>
  <c r="L12" i="21"/>
  <c r="M12" i="21"/>
  <c r="K12" i="21"/>
  <c r="L12" i="17"/>
  <c r="M12" i="17"/>
  <c r="K12" i="17"/>
  <c r="N7" i="21"/>
  <c r="E3" i="1"/>
  <c r="E4" i="1"/>
  <c r="E5" i="1"/>
  <c r="E6" i="1"/>
  <c r="E7" i="1"/>
  <c r="E8" i="1"/>
  <c r="E9" i="1"/>
  <c r="E10" i="1"/>
  <c r="E11" i="1"/>
  <c r="E2" i="1"/>
  <c r="N11" i="21"/>
  <c r="N10" i="21"/>
  <c r="N9" i="21"/>
  <c r="N8" i="21"/>
  <c r="N6" i="21"/>
  <c r="N5" i="21"/>
  <c r="N4" i="21"/>
  <c r="O6" i="1" s="1"/>
  <c r="H4" i="21"/>
  <c r="F4" i="21"/>
  <c r="C6" i="21" s="1"/>
  <c r="N3" i="21"/>
  <c r="F3" i="21"/>
  <c r="N2" i="21"/>
  <c r="N6" i="1"/>
  <c r="L12" i="16"/>
  <c r="M12" i="16"/>
  <c r="K12" i="16"/>
  <c r="N11" i="17"/>
  <c r="N11" i="1" s="1"/>
  <c r="N10" i="17"/>
  <c r="N10" i="1" s="1"/>
  <c r="N9" i="17"/>
  <c r="N9" i="1" s="1"/>
  <c r="N8" i="17"/>
  <c r="N7" i="1" s="1"/>
  <c r="N7" i="17"/>
  <c r="N8" i="1" s="1"/>
  <c r="N6" i="17"/>
  <c r="N5" i="1" s="1"/>
  <c r="N5" i="17"/>
  <c r="N4" i="1" s="1"/>
  <c r="N4" i="17"/>
  <c r="N3" i="17"/>
  <c r="N3" i="1" s="1"/>
  <c r="N2" i="17"/>
  <c r="N2" i="1" s="1"/>
  <c r="N3" i="16"/>
  <c r="M3" i="1" s="1"/>
  <c r="N4" i="16"/>
  <c r="M6" i="1" s="1"/>
  <c r="N5" i="16"/>
  <c r="M4" i="1" s="1"/>
  <c r="N6" i="16"/>
  <c r="M5" i="1" s="1"/>
  <c r="N7" i="16"/>
  <c r="M8" i="1" s="1"/>
  <c r="N8" i="16"/>
  <c r="M7" i="1" s="1"/>
  <c r="N9" i="16"/>
  <c r="M9" i="1" s="1"/>
  <c r="N10" i="16"/>
  <c r="M10" i="1" s="1"/>
  <c r="N11" i="16"/>
  <c r="M11" i="1" s="1"/>
  <c r="N2" i="16"/>
  <c r="M2" i="1" s="1"/>
  <c r="H4" i="17"/>
  <c r="C4" i="17"/>
  <c r="C4" i="16"/>
  <c r="F3" i="17"/>
  <c r="F4" i="17" s="1"/>
  <c r="H4" i="16"/>
  <c r="F3" i="16"/>
  <c r="F4" i="16" s="1"/>
  <c r="C3" i="16" s="1"/>
  <c r="L2" i="1"/>
  <c r="L12" i="1" s="1"/>
  <c r="C8" i="4"/>
  <c r="F6" i="4"/>
  <c r="F3" i="4"/>
  <c r="F2" i="4"/>
  <c r="C9" i="4"/>
  <c r="C7" i="4"/>
  <c r="C6" i="4"/>
  <c r="C4" i="4"/>
  <c r="C3" i="4"/>
  <c r="C7" i="5"/>
  <c r="C8" i="5"/>
  <c r="C9" i="5"/>
  <c r="C6" i="5"/>
  <c r="C4" i="5"/>
  <c r="C3" i="5"/>
  <c r="C7" i="6"/>
  <c r="C8" i="6"/>
  <c r="C9" i="6"/>
  <c r="C6" i="6"/>
  <c r="C4" i="6"/>
  <c r="C3" i="6"/>
  <c r="I12" i="1"/>
  <c r="C9" i="7"/>
  <c r="C8" i="7"/>
  <c r="C7" i="7"/>
  <c r="C6" i="7"/>
  <c r="C4" i="7"/>
  <c r="C3" i="7"/>
  <c r="C7" i="14"/>
  <c r="C8" i="14"/>
  <c r="C9" i="14"/>
  <c r="C6" i="14"/>
  <c r="C4" i="14"/>
  <c r="C3" i="14"/>
  <c r="C7" i="13"/>
  <c r="C8" i="13"/>
  <c r="C9" i="13"/>
  <c r="C6" i="13"/>
  <c r="C4" i="13"/>
  <c r="C3" i="13"/>
  <c r="F5" i="1"/>
  <c r="G7" i="1"/>
  <c r="K6" i="1"/>
  <c r="H6" i="1"/>
  <c r="J2" i="1"/>
  <c r="K3" i="1"/>
  <c r="H3" i="1"/>
  <c r="G3" i="1"/>
  <c r="N12" i="22" l="1"/>
  <c r="C9" i="23"/>
  <c r="C6" i="23"/>
  <c r="C3" i="23"/>
  <c r="O12" i="1"/>
  <c r="N12" i="21"/>
  <c r="C8" i="22"/>
  <c r="C9" i="22"/>
  <c r="C6" i="22"/>
  <c r="C4" i="21"/>
  <c r="N12" i="17"/>
  <c r="Q10" i="1"/>
  <c r="Q9" i="1"/>
  <c r="N12" i="1"/>
  <c r="Q2" i="1"/>
  <c r="Q6" i="1"/>
  <c r="Q8" i="1"/>
  <c r="C7" i="21"/>
  <c r="C8" i="21"/>
  <c r="C9" i="21"/>
  <c r="C3" i="21"/>
  <c r="Q5" i="1"/>
  <c r="Q7" i="1"/>
  <c r="Q4" i="1"/>
  <c r="Q3" i="1"/>
  <c r="M12" i="1"/>
  <c r="Q11" i="1"/>
  <c r="K12" i="1"/>
  <c r="N12" i="16"/>
  <c r="C6" i="16"/>
  <c r="C7" i="16"/>
  <c r="C8" i="16"/>
  <c r="C9" i="16"/>
  <c r="C9" i="17"/>
  <c r="C3" i="17"/>
  <c r="C8" i="17"/>
  <c r="C7" i="17"/>
  <c r="C6" i="17"/>
  <c r="H12" i="1"/>
  <c r="J12" i="1"/>
  <c r="F12" i="1"/>
  <c r="G12" i="1"/>
  <c r="Q12" i="1" l="1"/>
</calcChain>
</file>

<file path=xl/sharedStrings.xml><?xml version="1.0" encoding="utf-8"?>
<sst xmlns="http://schemas.openxmlformats.org/spreadsheetml/2006/main" count="809" uniqueCount="168">
  <si>
    <t>Cory</t>
  </si>
  <si>
    <t>Marian</t>
  </si>
  <si>
    <t>Bates</t>
  </si>
  <si>
    <t>Jeremy</t>
  </si>
  <si>
    <t>David</t>
  </si>
  <si>
    <t>Justin</t>
  </si>
  <si>
    <t>Richard</t>
  </si>
  <si>
    <t>Dylan</t>
  </si>
  <si>
    <t>Sam</t>
  </si>
  <si>
    <t>Michael</t>
  </si>
  <si>
    <t>Total</t>
  </si>
  <si>
    <t>Regular Season</t>
  </si>
  <si>
    <t>1st</t>
  </si>
  <si>
    <t>2nd</t>
  </si>
  <si>
    <t>Playoffs</t>
  </si>
  <si>
    <t>3rd</t>
  </si>
  <si>
    <t>4th</t>
  </si>
  <si>
    <t>Passing Yard</t>
  </si>
  <si>
    <t>Passing TD</t>
  </si>
  <si>
    <t>2pt Conversion</t>
  </si>
  <si>
    <t>Interception</t>
  </si>
  <si>
    <t>25yds=1pt</t>
  </si>
  <si>
    <t>Rushing Yard</t>
  </si>
  <si>
    <t>Rushing TD</t>
  </si>
  <si>
    <t>Reception</t>
  </si>
  <si>
    <t>Receiving Yards</t>
  </si>
  <si>
    <t>Receiving TD</t>
  </si>
  <si>
    <t>FG (0-49yd)</t>
  </si>
  <si>
    <t>FG(50+)</t>
  </si>
  <si>
    <t>PAT Made</t>
  </si>
  <si>
    <t>PAT Miss</t>
  </si>
  <si>
    <t>TD</t>
  </si>
  <si>
    <t xml:space="preserve">0 Points </t>
  </si>
  <si>
    <t>1 to 6</t>
  </si>
  <si>
    <t>7 to 13</t>
  </si>
  <si>
    <t>14 to 20</t>
  </si>
  <si>
    <t>28 to 34</t>
  </si>
  <si>
    <t>35+</t>
  </si>
  <si>
    <t>Sacks</t>
  </si>
  <si>
    <t>Fumble recovery</t>
  </si>
  <si>
    <t>Safety</t>
  </si>
  <si>
    <t>Fumble Lost</t>
  </si>
  <si>
    <t>QB</t>
  </si>
  <si>
    <t>RB</t>
  </si>
  <si>
    <t>WR</t>
  </si>
  <si>
    <t>WR/RB/TE</t>
  </si>
  <si>
    <t>Def</t>
  </si>
  <si>
    <t>Kicker</t>
  </si>
  <si>
    <t>Bench</t>
  </si>
  <si>
    <t>IR</t>
  </si>
  <si>
    <t>Roster Comp</t>
  </si>
  <si>
    <t>Draft Order</t>
  </si>
  <si>
    <t>5th</t>
  </si>
  <si>
    <t>6th</t>
  </si>
  <si>
    <t>7th</t>
  </si>
  <si>
    <t>8th</t>
  </si>
  <si>
    <t>9th</t>
  </si>
  <si>
    <t>10th</t>
  </si>
  <si>
    <t>2022 ($350)</t>
  </si>
  <si>
    <t>Regular Season Standings</t>
  </si>
  <si>
    <t>2019 ($200)</t>
  </si>
  <si>
    <t>2018 ($150)</t>
  </si>
  <si>
    <t>2017 ($125)</t>
  </si>
  <si>
    <t xml:space="preserve">Cory </t>
  </si>
  <si>
    <t>2016 ($100)</t>
  </si>
  <si>
    <t>2016</t>
  </si>
  <si>
    <t>2017</t>
  </si>
  <si>
    <t>2018</t>
  </si>
  <si>
    <t>2019</t>
  </si>
  <si>
    <t>2020</t>
  </si>
  <si>
    <t>2021</t>
  </si>
  <si>
    <t>2022</t>
  </si>
  <si>
    <t>2020 ($250)</t>
  </si>
  <si>
    <t>2021 ($300)</t>
  </si>
  <si>
    <t>Scoring</t>
  </si>
  <si>
    <t>Owners</t>
  </si>
  <si>
    <t>Dave</t>
  </si>
  <si>
    <r>
      <rPr>
        <b/>
        <sz val="12"/>
        <color theme="1"/>
        <rFont val="Calibri"/>
        <family val="2"/>
        <scheme val="minor"/>
      </rPr>
      <t>TRADES</t>
    </r>
    <r>
      <rPr>
        <sz val="12"/>
        <color theme="1"/>
        <rFont val="Calibri"/>
        <family val="2"/>
        <scheme val="minor"/>
      </rPr>
      <t xml:space="preserve">
</t>
    </r>
  </si>
  <si>
    <r>
      <rPr>
        <b/>
        <sz val="12"/>
        <color theme="1"/>
        <rFont val="Calibri"/>
        <family val="2"/>
        <scheme val="minor"/>
      </rPr>
      <t>TRADES</t>
    </r>
    <r>
      <rPr>
        <sz val="12"/>
        <color theme="1"/>
        <rFont val="Calibri"/>
        <family val="2"/>
        <scheme val="minor"/>
      </rPr>
      <t xml:space="preserve">
</t>
    </r>
    <r>
      <rPr>
        <sz val="10"/>
        <color theme="1"/>
        <rFont val="Calibri (Body)"/>
      </rPr>
      <t>*Richard trade 7th Round pick for Cory 8th Round Pick &amp; Cam Akers</t>
    </r>
    <r>
      <rPr>
        <sz val="10"/>
        <color theme="1"/>
        <rFont val="Calibri"/>
        <family val="2"/>
        <scheme val="minor"/>
      </rPr>
      <t xml:space="preserve">
*</t>
    </r>
    <r>
      <rPr>
        <sz val="10"/>
        <color theme="1"/>
        <rFont val="Calibri (Body)"/>
      </rPr>
      <t>Bates trade 6th Round Pick &amp; Tyreek Hill for Sams 5th Round Pick</t>
    </r>
  </si>
  <si>
    <t>2023 ($350)</t>
  </si>
  <si>
    <t>Marian/Sam</t>
  </si>
  <si>
    <t>Dyaln</t>
  </si>
  <si>
    <t>Weekly Payouts</t>
  </si>
  <si>
    <t>2023</t>
  </si>
  <si>
    <t>Total Pot</t>
  </si>
  <si>
    <t>Remaining</t>
  </si>
  <si>
    <t>Weeks</t>
  </si>
  <si>
    <t>$ Per Week</t>
  </si>
  <si>
    <t>%</t>
  </si>
  <si>
    <t>$ Allocation</t>
  </si>
  <si>
    <t>2024 ($400)</t>
  </si>
  <si>
    <r>
      <rPr>
        <b/>
        <sz val="16"/>
        <color theme="1"/>
        <rFont val="Calibri"/>
        <family val="2"/>
        <scheme val="minor"/>
      </rPr>
      <t xml:space="preserve">                                                         RULES</t>
    </r>
    <r>
      <rPr>
        <sz val="16"/>
        <color theme="1"/>
        <rFont val="Calibri"/>
        <family val="2"/>
        <scheme val="minor"/>
      </rPr>
      <t xml:space="preserve">
*All rule changes approved by 6 votes
*Retain 3 keepers from previous year
*Draft Order- Reverse Standing from previous year
*Last Place pays for winner plaque
*Owners MUST set lineup or be kicked out (1 Warning)
*ALL Trades pending approval (5 votes denies trade)
*Any trade involving draft picks must swap picks within 1 round of eachother
*Tie Breaker = Total Points
*$100 Payout to weekly high point (Regular Season ONLY)</t>
    </r>
  </si>
  <si>
    <t>Justin Jefferson</t>
  </si>
  <si>
    <t>Christian Mccafery</t>
  </si>
  <si>
    <t>Ja'Marr Chase</t>
  </si>
  <si>
    <t>Austin Ekler</t>
  </si>
  <si>
    <t>Cooper Kupp</t>
  </si>
  <si>
    <t>Nick Chubb</t>
  </si>
  <si>
    <t>Tyreek Hill</t>
  </si>
  <si>
    <t>Saquon Barkley</t>
  </si>
  <si>
    <t>Jonathan Taylor</t>
  </si>
  <si>
    <t>Josh Jacobs</t>
  </si>
  <si>
    <t>A.J Brown</t>
  </si>
  <si>
    <t>Derrick Henery</t>
  </si>
  <si>
    <t>Ceedee Lamb</t>
  </si>
  <si>
    <t>Stefon Diggs</t>
  </si>
  <si>
    <t>Davante Adams</t>
  </si>
  <si>
    <t>Tony Pollard</t>
  </si>
  <si>
    <t>Rhamondre Stephenson</t>
  </si>
  <si>
    <t>Amon-Ra St. Brown</t>
  </si>
  <si>
    <t>Jalen Hurts</t>
  </si>
  <si>
    <t>Jaylen Waddle</t>
  </si>
  <si>
    <t>Joe Mixon</t>
  </si>
  <si>
    <t>Travis Etienne</t>
  </si>
  <si>
    <t>Breece Hall</t>
  </si>
  <si>
    <t>Najee Harris</t>
  </si>
  <si>
    <t>Josh Allen</t>
  </si>
  <si>
    <t>Patrick Mahomes</t>
  </si>
  <si>
    <t>Kenneth Walker</t>
  </si>
  <si>
    <t>Garrett Wilson</t>
  </si>
  <si>
    <t>Chris Olave</t>
  </si>
  <si>
    <t>Tee Higgins</t>
  </si>
  <si>
    <t>DK Metcalf</t>
  </si>
  <si>
    <t>Mark Andrews</t>
  </si>
  <si>
    <t>JK Dobbins</t>
  </si>
  <si>
    <t>Aaron Jones</t>
  </si>
  <si>
    <t>Amari Cooper</t>
  </si>
  <si>
    <t>Lamar Jackson</t>
  </si>
  <si>
    <t>Deebo Samuel</t>
  </si>
  <si>
    <t>Miles Sanders</t>
  </si>
  <si>
    <t>James Conner</t>
  </si>
  <si>
    <t>Keenan Allen</t>
  </si>
  <si>
    <t>Terry McLaurin</t>
  </si>
  <si>
    <t>Travis Kelce</t>
  </si>
  <si>
    <t>Hagen</t>
  </si>
  <si>
    <t>Teams</t>
  </si>
  <si>
    <t>Players</t>
  </si>
  <si>
    <t>Picks</t>
  </si>
  <si>
    <t>Round 4</t>
  </si>
  <si>
    <t>Round 5</t>
  </si>
  <si>
    <t>Round 6</t>
  </si>
  <si>
    <t>Round 7</t>
  </si>
  <si>
    <t>Round 8</t>
  </si>
  <si>
    <t>Round 9</t>
  </si>
  <si>
    <t>Round 10</t>
  </si>
  <si>
    <t>Round 11</t>
  </si>
  <si>
    <t>Round 12</t>
  </si>
  <si>
    <t>Round 13</t>
  </si>
  <si>
    <t>Round 14</t>
  </si>
  <si>
    <t>Round 15</t>
  </si>
  <si>
    <t>Weekly Winnings</t>
  </si>
  <si>
    <t>Payouts</t>
  </si>
  <si>
    <t>Bets</t>
  </si>
  <si>
    <t>2025 ($400)</t>
  </si>
  <si>
    <t>2024</t>
  </si>
  <si>
    <t>2025</t>
  </si>
  <si>
    <t>Wins</t>
  </si>
  <si>
    <t>Win %</t>
  </si>
  <si>
    <t>Tie</t>
  </si>
  <si>
    <t>Loss</t>
  </si>
  <si>
    <t>Owner</t>
  </si>
  <si>
    <t>Ben</t>
  </si>
  <si>
    <t>Increase Buyin to $500?</t>
  </si>
  <si>
    <t>Keep Keeper rules the same?</t>
  </si>
  <si>
    <t>2026 ($400)</t>
  </si>
  <si>
    <t>2027 ($400)</t>
  </si>
  <si>
    <t>2026</t>
  </si>
  <si>
    <t>Change Payout percentages?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</si>
</sst>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.00"/>
    <numFmt numFmtId="165" formatCode="0.0%"/>
    <numFmt numFmtId="166" formatCode="&quot;$&quot;#,##0.00;[Red]&quot;$&quot;#,##0.00"/>
  </numFmts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sz val="10"/>
      <color theme="1"/>
      <name val="Calibri (Body)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0.149998474074526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slantDashDot">
        <color auto="1"/>
      </left>
      <right/>
      <top style="slantDashDot">
        <color auto="1"/>
      </top>
      <bottom/>
      <diagonal/>
    </border>
    <border>
      <left/>
      <right style="slantDashDot">
        <color auto="1"/>
      </right>
      <top style="slantDashDot">
        <color auto="1"/>
      </top>
      <bottom/>
      <diagonal/>
    </border>
    <border>
      <left style="slantDashDot">
        <color auto="1"/>
      </left>
      <right/>
      <top/>
      <bottom/>
      <diagonal/>
    </border>
    <border>
      <left/>
      <right style="slantDashDot">
        <color auto="1"/>
      </right>
      <top/>
      <bottom/>
      <diagonal/>
    </border>
    <border>
      <left style="slantDashDot">
        <color auto="1"/>
      </left>
      <right/>
      <top/>
      <bottom style="slantDashDot">
        <color auto="1"/>
      </bottom>
      <diagonal/>
    </border>
    <border>
      <left/>
      <right style="slantDashDot">
        <color auto="1"/>
      </right>
      <top/>
      <bottom style="slantDashDot">
        <color auto="1"/>
      </bottom>
      <diagonal/>
    </border>
    <border>
      <left/>
      <right/>
      <top/>
      <bottom style="slantDashDot">
        <color auto="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9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0" fontId="2" fillId="0" borderId="0" xfId="0" applyFont="1" applyAlignment="1">
      <alignment horizontal="center"/>
    </xf>
    <xf numFmtId="164" fontId="2" fillId="0" borderId="0" xfId="0" applyNumberFormat="1" applyFont="1"/>
    <xf numFmtId="0" fontId="2" fillId="0" borderId="0" xfId="0" applyFont="1"/>
    <xf numFmtId="164" fontId="2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0" xfId="0" applyFont="1"/>
    <xf numFmtId="0" fontId="5" fillId="0" borderId="8" xfId="0" applyFont="1" applyBorder="1"/>
    <xf numFmtId="44" fontId="0" fillId="0" borderId="0" xfId="1" applyFont="1"/>
    <xf numFmtId="44" fontId="2" fillId="0" borderId="0" xfId="1" applyFont="1" applyAlignment="1">
      <alignment horizontal="center"/>
    </xf>
    <xf numFmtId="44" fontId="0" fillId="0" borderId="0" xfId="0" applyNumberFormat="1"/>
    <xf numFmtId="0" fontId="8" fillId="0" borderId="3" xfId="0" applyFont="1" applyBorder="1"/>
    <xf numFmtId="10" fontId="8" fillId="0" borderId="0" xfId="0" applyNumberFormat="1" applyFont="1"/>
    <xf numFmtId="44" fontId="8" fillId="0" borderId="0" xfId="0" applyNumberFormat="1" applyFont="1"/>
    <xf numFmtId="0" fontId="8" fillId="0" borderId="4" xfId="0" applyFont="1" applyBorder="1"/>
    <xf numFmtId="9" fontId="8" fillId="0" borderId="0" xfId="0" applyNumberFormat="1" applyFont="1"/>
    <xf numFmtId="0" fontId="8" fillId="0" borderId="5" xfId="0" applyFont="1" applyBorder="1"/>
    <xf numFmtId="9" fontId="8" fillId="0" borderId="8" xfId="0" applyNumberFormat="1" applyFont="1" applyBorder="1"/>
    <xf numFmtId="44" fontId="8" fillId="0" borderId="8" xfId="0" applyNumberFormat="1" applyFont="1" applyBorder="1"/>
    <xf numFmtId="0" fontId="8" fillId="0" borderId="6" xfId="0" applyFont="1" applyBorder="1"/>
    <xf numFmtId="44" fontId="5" fillId="0" borderId="0" xfId="1" applyFont="1" applyBorder="1"/>
    <xf numFmtId="44" fontId="5" fillId="0" borderId="8" xfId="1" applyFont="1" applyBorder="1"/>
    <xf numFmtId="10" fontId="8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0" fontId="5" fillId="0" borderId="4" xfId="0" applyFont="1" applyBorder="1" applyAlignment="1">
      <alignment horizontal="center"/>
    </xf>
    <xf numFmtId="9" fontId="8" fillId="0" borderId="0" xfId="0" applyNumberFormat="1" applyFont="1" applyAlignment="1">
      <alignment horizontal="center"/>
    </xf>
    <xf numFmtId="44" fontId="8" fillId="0" borderId="0" xfId="1" applyFont="1" applyBorder="1" applyAlignment="1">
      <alignment horizontal="center"/>
    </xf>
    <xf numFmtId="9" fontId="8" fillId="0" borderId="8" xfId="0" applyNumberFormat="1" applyFont="1" applyBorder="1" applyAlignment="1">
      <alignment horizontal="center"/>
    </xf>
    <xf numFmtId="44" fontId="8" fillId="0" borderId="8" xfId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4" fillId="0" borderId="3" xfId="0" applyFont="1" applyBorder="1"/>
    <xf numFmtId="0" fontId="4" fillId="0" borderId="5" xfId="0" applyFont="1" applyBorder="1"/>
    <xf numFmtId="0" fontId="5" fillId="0" borderId="8" xfId="0" applyFont="1" applyBorder="1" applyAlignment="1">
      <alignment horizontal="center"/>
    </xf>
    <xf numFmtId="0" fontId="0" fillId="0" borderId="0" xfId="0" applyAlignment="1">
      <alignment vertical="top"/>
    </xf>
    <xf numFmtId="0" fontId="5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0" fontId="5" fillId="0" borderId="16" xfId="0" applyFont="1" applyBorder="1"/>
    <xf numFmtId="10" fontId="5" fillId="0" borderId="0" xfId="0" applyNumberFormat="1" applyFont="1"/>
    <xf numFmtId="8" fontId="5" fillId="0" borderId="0" xfId="0" applyNumberFormat="1" applyFont="1"/>
    <xf numFmtId="9" fontId="5" fillId="0" borderId="0" xfId="0" applyNumberFormat="1" applyFont="1"/>
    <xf numFmtId="6" fontId="5" fillId="0" borderId="0" xfId="0" applyNumberFormat="1" applyFont="1"/>
    <xf numFmtId="9" fontId="5" fillId="0" borderId="8" xfId="0" applyNumberFormat="1" applyFont="1" applyBorder="1"/>
    <xf numFmtId="6" fontId="5" fillId="0" borderId="8" xfId="0" applyNumberFormat="1" applyFont="1" applyBorder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6" fontId="4" fillId="0" borderId="0" xfId="0" applyNumberFormat="1" applyFont="1" applyAlignment="1">
      <alignment horizontal="left"/>
    </xf>
    <xf numFmtId="0" fontId="4" fillId="0" borderId="8" xfId="0" applyFont="1" applyBorder="1" applyAlignment="1">
      <alignment horizontal="left"/>
    </xf>
    <xf numFmtId="6" fontId="0" fillId="0" borderId="0" xfId="0" applyNumberFormat="1"/>
    <xf numFmtId="164" fontId="0" fillId="0" borderId="0" xfId="1" applyNumberFormat="1" applyFont="1"/>
    <xf numFmtId="0" fontId="5" fillId="0" borderId="17" xfId="0" applyFont="1" applyBorder="1"/>
    <xf numFmtId="0" fontId="0" fillId="0" borderId="3" xfId="0" applyBorder="1"/>
    <xf numFmtId="0" fontId="0" fillId="0" borderId="5" xfId="0" applyBorder="1"/>
    <xf numFmtId="165" fontId="5" fillId="0" borderId="0" xfId="0" applyNumberFormat="1" applyFont="1"/>
    <xf numFmtId="165" fontId="5" fillId="0" borderId="8" xfId="0" applyNumberFormat="1" applyFont="1" applyBorder="1"/>
    <xf numFmtId="164" fontId="5" fillId="0" borderId="0" xfId="0" applyNumberFormat="1" applyFont="1"/>
    <xf numFmtId="164" fontId="5" fillId="0" borderId="8" xfId="0" applyNumberFormat="1" applyFont="1" applyBorder="1"/>
    <xf numFmtId="0" fontId="2" fillId="0" borderId="3" xfId="0" applyFont="1" applyBorder="1"/>
    <xf numFmtId="0" fontId="0" fillId="0" borderId="4" xfId="0" applyBorder="1"/>
    <xf numFmtId="164" fontId="0" fillId="0" borderId="4" xfId="1" applyNumberFormat="1" applyFont="1" applyBorder="1"/>
    <xf numFmtId="0" fontId="2" fillId="0" borderId="5" xfId="0" applyFont="1" applyBorder="1"/>
    <xf numFmtId="164" fontId="0" fillId="0" borderId="8" xfId="0" applyNumberFormat="1" applyBorder="1"/>
    <xf numFmtId="10" fontId="0" fillId="0" borderId="6" xfId="0" applyNumberFormat="1" applyBorder="1"/>
    <xf numFmtId="0" fontId="2" fillId="0" borderId="8" xfId="0" applyFont="1" applyBorder="1"/>
    <xf numFmtId="0" fontId="2" fillId="0" borderId="7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2" borderId="18" xfId="0" applyFill="1" applyBorder="1"/>
    <xf numFmtId="0" fontId="0" fillId="0" borderId="18" xfId="0" applyBorder="1"/>
    <xf numFmtId="0" fontId="2" fillId="3" borderId="0" xfId="0" applyFont="1" applyFill="1"/>
    <xf numFmtId="0" fontId="0" fillId="0" borderId="1" xfId="0" applyBorder="1"/>
    <xf numFmtId="0" fontId="2" fillId="3" borderId="3" xfId="0" applyFont="1" applyFill="1" applyBorder="1"/>
    <xf numFmtId="164" fontId="0" fillId="0" borderId="4" xfId="0" applyNumberFormat="1" applyBorder="1"/>
    <xf numFmtId="164" fontId="0" fillId="0" borderId="6" xfId="0" applyNumberFormat="1" applyBorder="1"/>
    <xf numFmtId="8" fontId="0" fillId="0" borderId="0" xfId="0" applyNumberFormat="1"/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9" fontId="2" fillId="0" borderId="0" xfId="2" applyFont="1" applyAlignment="1">
      <alignment horizontal="center" vertical="center"/>
    </xf>
    <xf numFmtId="9" fontId="2" fillId="0" borderId="0" xfId="0" applyNumberFormat="1" applyFont="1" applyAlignment="1">
      <alignment horizontal="center" vertical="center"/>
    </xf>
    <xf numFmtId="166" fontId="0" fillId="0" borderId="0" xfId="0" applyNumberFormat="1"/>
    <xf numFmtId="166" fontId="0" fillId="0" borderId="0" xfId="1" applyNumberFormat="1" applyFont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6" fontId="2" fillId="0" borderId="1" xfId="0" applyNumberFormat="1" applyFont="1" applyBorder="1" applyAlignment="1">
      <alignment horizontal="center"/>
    </xf>
    <xf numFmtId="6" fontId="2" fillId="0" borderId="7" xfId="0" applyNumberFormat="1" applyFont="1" applyBorder="1" applyAlignment="1">
      <alignment horizontal="center"/>
    </xf>
    <xf numFmtId="6" fontId="2" fillId="0" borderId="2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4" fillId="0" borderId="14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7" fillId="0" borderId="4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</cellXfs>
  <cellStyles count="3">
    <cellStyle name="Currency" xfId="1" builtinId="4"/>
    <cellStyle name="Normal" xfId="0" builtinId="0"/>
    <cellStyle name="Percent" xfId="2" builtinId="5"/>
  </cellStyles>
  <dxfs count="39">
    <dxf>
      <numFmt numFmtId="166" formatCode="&quot;$&quot;#,##0.00;[Red]&quot;$&quot;#,##0.00"/>
    </dxf>
    <dxf>
      <numFmt numFmtId="166" formatCode="&quot;$&quot;#,##0.00;[Red]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&quot;$&quot;#,##0.00;[Red]&quot;$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&quot;$&quot;#,##0.00;[Red]&quot;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</dxf>
    <dxf>
      <numFmt numFmtId="34" formatCode="_(&quot;$&quot;* #,##0.00_);_(&quot;$&quot;* \(#,##0.00\);_(&quot;$&quot;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numFmt numFmtId="164" formatCode="&quot;$&quot;#,##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3" formatCode="0%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4E086A-8AC2-E447-8AEA-D5CEA4210A4D}" name="Table3" displayName="Table3" ref="A1:Q12" totalsRowCount="1" headerRowDxfId="38">
  <autoFilter ref="A1:Q11" xr:uid="{BF4E086A-8AC2-E447-8AEA-D5CEA4210A4D}"/>
  <sortState xmlns:xlrd2="http://schemas.microsoft.com/office/spreadsheetml/2017/richdata2" ref="A2:Q11">
    <sortCondition descending="1" ref="Q1:Q11"/>
  </sortState>
  <tableColumns count="17">
    <tableColumn id="1" xr3:uid="{778DCF39-4410-3043-BAF1-0B4157AC2F25}" name="Owners" totalsRowLabel="Total" dataDxfId="37" totalsRowDxfId="36"/>
    <tableColumn id="17" xr3:uid="{59CA9087-505B-2843-BF44-6BFCF983F145}" name="Wins" dataDxfId="35" totalsRowDxfId="34"/>
    <tableColumn id="16" xr3:uid="{E91C1191-65AC-D648-A02B-A60FB798168A}" name="Loss" dataDxfId="33" totalsRowDxfId="32"/>
    <tableColumn id="18" xr3:uid="{E814308D-4A34-5F49-8F66-4BB8DB0F5857}" name="Tie" dataDxfId="31" totalsRowDxfId="30"/>
    <tableColumn id="10" xr3:uid="{24D26084-2BB8-9049-992E-727F3C9622E2}" name="Win %" dataDxfId="29" totalsRowDxfId="28" dataCellStyle="Percent">
      <calculatedColumnFormula>(Table3[[#This Row],[Wins]]/(Table3[[#This Row],[Wins]]+Table3[[#This Row],[Loss]]+Table3[[#This Row],[Tie]]))</calculatedColumnFormula>
    </tableColumn>
    <tableColumn id="2" xr3:uid="{099B31FC-2D8F-8D44-B45E-D409DF9FBABD}" name="2016" totalsRowFunction="sum" dataDxfId="27" totalsRowDxfId="26"/>
    <tableColumn id="3" xr3:uid="{11B40E53-0423-8A45-B575-D114DF45382A}" name="2017" totalsRowFunction="sum" dataDxfId="25" totalsRowDxfId="24"/>
    <tableColumn id="4" xr3:uid="{D6E8D077-6268-C247-B3D8-619ECF7F9EF7}" name="2018" totalsRowFunction="sum" dataDxfId="23" totalsRowDxfId="22"/>
    <tableColumn id="5" xr3:uid="{69AE8DF8-1DF2-D540-8F1C-2EAB2A46B76D}" name="2019" totalsRowFunction="sum" dataDxfId="21" totalsRowDxfId="20"/>
    <tableColumn id="6" xr3:uid="{D63C8B33-A185-8D42-90AE-7484279E3870}" name="2020" totalsRowFunction="sum" dataDxfId="19" totalsRowDxfId="18"/>
    <tableColumn id="7" xr3:uid="{DD9AF05A-5C12-8048-AF01-40509D8E82DE}" name="2021" totalsRowFunction="sum" dataDxfId="17" totalsRowDxfId="16"/>
    <tableColumn id="8" xr3:uid="{7C2A2274-BB22-914F-98A3-4ABF1F37C96D}" name="2022" totalsRowFunction="sum" dataDxfId="15" totalsRowDxfId="14" dataCellStyle="Currency"/>
    <tableColumn id="11" xr3:uid="{3A2E4707-1842-D74D-850E-859815B98B54}" name="2023" totalsRowFunction="sum" dataDxfId="13" totalsRowDxfId="12" dataCellStyle="Currency">
      <calculatedColumnFormula>'2023'!N2</calculatedColumnFormula>
    </tableColumn>
    <tableColumn id="14" xr3:uid="{E7EA4045-2D85-A74F-83AF-D8ACAF467FAA}" name="2024" totalsRowFunction="sum" dataDxfId="11" totalsRowDxfId="10" dataCellStyle="Currency">
      <calculatedColumnFormula>'2024'!N2</calculatedColumnFormula>
    </tableColumn>
    <tableColumn id="13" xr3:uid="{CD60D26F-68B3-6D4F-B00D-DC59D0D2C3E6}" name="2025" totalsRowFunction="sum" dataDxfId="9" totalsRowDxfId="8" dataCellStyle="Currency">
      <calculatedColumnFormula>'2024'!O2</calculatedColumnFormula>
    </tableColumn>
    <tableColumn id="12" xr3:uid="{63372F5A-BEBF-5A46-A4B7-CC70BC45848A}" name="2026" dataDxfId="7" totalsRowDxfId="6" dataCellStyle="Currency"/>
    <tableColumn id="9" xr3:uid="{ED252B4E-D762-DB47-B0DB-233F3D1EDDBD}" name="Total" totalsRowFunction="sum" dataDxfId="5" totalsRowDxfId="4">
      <calculatedColumnFormula>SUM(F2:N2)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8102C07-9DEA-AD4C-8E51-843EFF1C2700}" name="Table1" displayName="Table1" ref="A1:C12" totalsRowCount="1">
  <autoFilter ref="A1:C11" xr:uid="{18102C07-9DEA-AD4C-8E51-843EFF1C2700}"/>
  <tableColumns count="3">
    <tableColumn id="1" xr3:uid="{3A66CAEB-2ADC-E247-9F92-022A2BDBD3B0}" name="Owner" totalsRowLabel="Total"/>
    <tableColumn id="5" xr3:uid="{8E159E58-22E1-9A4F-A982-B6584BFAED57}" name="2026 ($400)" totalsRowFunction="sum" dataDxfId="3" totalsRowDxfId="1" dataCellStyle="Currency"/>
    <tableColumn id="6" xr3:uid="{1DE28628-41B4-4B4D-BCC4-AA2781EA50C1}" name="2027 ($400)" dataDxfId="2" totalsRowDxfId="0" dataCellStyle="Currency"/>
  </tableColumns>
  <tableStyleInfo name="TableStyleMedium2" showFirstColumn="0" showLastColumn="1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CA8FF-FCB6-CB4A-BB2E-2A9D28E9B84B}">
  <dimension ref="A1:Q15"/>
  <sheetViews>
    <sheetView workbookViewId="0">
      <selection activeCell="P12" sqref="P12"/>
    </sheetView>
  </sheetViews>
  <sheetFormatPr baseColWidth="10" defaultColWidth="11" defaultRowHeight="16" x14ac:dyDescent="0.2"/>
  <cols>
    <col min="1" max="1" width="12.5" style="5" bestFit="1" customWidth="1"/>
    <col min="2" max="3" width="6.5" style="83" customWidth="1"/>
    <col min="4" max="4" width="5.6640625" style="83" customWidth="1"/>
    <col min="5" max="5" width="8.5" style="84" customWidth="1"/>
    <col min="6" max="11" width="10.1640625" bestFit="1" customWidth="1"/>
    <col min="12" max="12" width="10.5" bestFit="1" customWidth="1"/>
    <col min="13" max="16" width="10.5" customWidth="1"/>
    <col min="17" max="17" width="10.33203125" style="5" bestFit="1" customWidth="1"/>
  </cols>
  <sheetData>
    <row r="1" spans="1:17" s="3" customFormat="1" x14ac:dyDescent="0.2">
      <c r="A1" s="3" t="s">
        <v>75</v>
      </c>
      <c r="B1" s="83" t="s">
        <v>156</v>
      </c>
      <c r="C1" s="83" t="s">
        <v>159</v>
      </c>
      <c r="D1" s="83" t="s">
        <v>158</v>
      </c>
      <c r="E1" s="84" t="s">
        <v>157</v>
      </c>
      <c r="F1" s="3" t="s">
        <v>65</v>
      </c>
      <c r="G1" s="3" t="s">
        <v>66</v>
      </c>
      <c r="H1" s="3" t="s">
        <v>67</v>
      </c>
      <c r="I1" s="3" t="s">
        <v>68</v>
      </c>
      <c r="J1" s="3" t="s">
        <v>69</v>
      </c>
      <c r="K1" s="3" t="s">
        <v>70</v>
      </c>
      <c r="L1" s="3" t="s">
        <v>71</v>
      </c>
      <c r="M1" s="3" t="s">
        <v>83</v>
      </c>
      <c r="N1" s="3" t="s">
        <v>154</v>
      </c>
      <c r="O1" s="3" t="s">
        <v>155</v>
      </c>
      <c r="P1" s="3" t="s">
        <v>166</v>
      </c>
      <c r="Q1" s="3" t="s">
        <v>10</v>
      </c>
    </row>
    <row r="2" spans="1:17" x14ac:dyDescent="0.2">
      <c r="A2" s="5" t="s">
        <v>1</v>
      </c>
      <c r="B2" s="83">
        <v>52</v>
      </c>
      <c r="C2" s="83">
        <v>33</v>
      </c>
      <c r="D2" s="83">
        <v>0</v>
      </c>
      <c r="E2" s="84">
        <f>(Table3[[#This Row],[Wins]]/(Table3[[#This Row],[Wins]]+Table3[[#This Row],[Loss]]+Table3[[#This Row],[Tie]]))</f>
        <v>0.61176470588235299</v>
      </c>
      <c r="F2" s="2">
        <v>0</v>
      </c>
      <c r="G2" s="2">
        <v>0</v>
      </c>
      <c r="H2" s="2">
        <v>0</v>
      </c>
      <c r="I2" s="2">
        <v>700</v>
      </c>
      <c r="J2" s="2">
        <f>750+150</f>
        <v>900</v>
      </c>
      <c r="K2" s="2">
        <v>870</v>
      </c>
      <c r="L2" s="55">
        <f>787.5+875</f>
        <v>1662.5</v>
      </c>
      <c r="M2" s="55">
        <f>'2023'!N2</f>
        <v>100</v>
      </c>
      <c r="N2" s="55">
        <f>'2024'!N2</f>
        <v>750</v>
      </c>
      <c r="O2" s="55">
        <f>'2025'!N2</f>
        <v>100</v>
      </c>
      <c r="P2" s="55"/>
      <c r="Q2" s="4">
        <f t="shared" ref="Q2:Q11" si="0">SUM(F2:N2)</f>
        <v>4982.5</v>
      </c>
    </row>
    <row r="3" spans="1:17" x14ac:dyDescent="0.2">
      <c r="A3" s="5" t="s">
        <v>0</v>
      </c>
      <c r="B3" s="83">
        <v>49</v>
      </c>
      <c r="C3" s="83">
        <v>36</v>
      </c>
      <c r="D3" s="83">
        <v>1</v>
      </c>
      <c r="E3" s="84">
        <f>(Table3[[#This Row],[Wins]]/(Table3[[#This Row],[Wins]]+Table3[[#This Row],[Loss]]+Table3[[#This Row],[Tie]]))</f>
        <v>0.56976744186046513</v>
      </c>
      <c r="F3" s="2">
        <v>200</v>
      </c>
      <c r="G3" s="2">
        <f>375+62.5</f>
        <v>437.5</v>
      </c>
      <c r="H3" s="2">
        <f>450+75</f>
        <v>525</v>
      </c>
      <c r="I3" s="2">
        <v>0</v>
      </c>
      <c r="J3" s="2">
        <v>1050</v>
      </c>
      <c r="K3" s="2">
        <f>362.5+145</f>
        <v>507.5</v>
      </c>
      <c r="L3" s="55">
        <v>0</v>
      </c>
      <c r="M3" s="55">
        <f>'2023'!N3</f>
        <v>400</v>
      </c>
      <c r="N3" s="55">
        <f>'2024'!N3</f>
        <v>400</v>
      </c>
      <c r="O3" s="55">
        <f>'2025'!N3</f>
        <v>0</v>
      </c>
      <c r="P3" s="55"/>
      <c r="Q3" s="4">
        <f t="shared" si="0"/>
        <v>3520</v>
      </c>
    </row>
    <row r="4" spans="1:17" x14ac:dyDescent="0.2">
      <c r="A4" s="5" t="s">
        <v>4</v>
      </c>
      <c r="B4" s="83">
        <v>51</v>
      </c>
      <c r="C4" s="83">
        <v>34</v>
      </c>
      <c r="D4" s="83">
        <v>0</v>
      </c>
      <c r="E4" s="84">
        <f>(Table3[[#This Row],[Wins]]/(Table3[[#This Row],[Wins]]+Table3[[#This Row],[Loss]]+Table3[[#This Row],[Tie]]))</f>
        <v>0.6</v>
      </c>
      <c r="F4" s="2">
        <v>300</v>
      </c>
      <c r="G4" s="2">
        <v>250</v>
      </c>
      <c r="H4" s="2">
        <v>0</v>
      </c>
      <c r="I4" s="2">
        <v>250</v>
      </c>
      <c r="J4" s="2">
        <v>250</v>
      </c>
      <c r="K4" s="2">
        <v>0</v>
      </c>
      <c r="L4" s="55">
        <v>437.5</v>
      </c>
      <c r="M4" s="55">
        <f>'2023'!N5</f>
        <v>800</v>
      </c>
      <c r="N4" s="55">
        <f>'2024'!N5</f>
        <v>950</v>
      </c>
      <c r="O4" s="55">
        <f>'2025'!N5</f>
        <v>800</v>
      </c>
      <c r="P4" s="55"/>
      <c r="Q4" s="4">
        <f t="shared" si="0"/>
        <v>3237.5</v>
      </c>
    </row>
    <row r="5" spans="1:17" x14ac:dyDescent="0.2">
      <c r="A5" s="5" t="s">
        <v>9</v>
      </c>
      <c r="B5" s="83">
        <v>42</v>
      </c>
      <c r="C5" s="83">
        <v>43</v>
      </c>
      <c r="D5" s="83">
        <v>0</v>
      </c>
      <c r="E5" s="84">
        <f>(Table3[[#This Row],[Wins]]/(Table3[[#This Row],[Wins]]+Table3[[#This Row],[Loss]]+Table3[[#This Row],[Tie]]))</f>
        <v>0.49411764705882355</v>
      </c>
      <c r="F5" s="2">
        <f>125+225</f>
        <v>350</v>
      </c>
      <c r="G5" s="2">
        <v>0</v>
      </c>
      <c r="H5" s="2">
        <v>0</v>
      </c>
      <c r="I5" s="2">
        <v>850</v>
      </c>
      <c r="J5" s="2">
        <v>0</v>
      </c>
      <c r="K5" s="2">
        <v>0</v>
      </c>
      <c r="L5" s="55">
        <v>0</v>
      </c>
      <c r="M5" s="55">
        <f>'2023'!N6</f>
        <v>1050</v>
      </c>
      <c r="N5" s="55">
        <f>'2024'!N6</f>
        <v>100</v>
      </c>
      <c r="O5" s="55">
        <f>'2025'!N6</f>
        <v>1325</v>
      </c>
      <c r="P5" s="55"/>
      <c r="Q5" s="4">
        <f t="shared" si="0"/>
        <v>2350</v>
      </c>
    </row>
    <row r="6" spans="1:17" x14ac:dyDescent="0.2">
      <c r="A6" s="5" t="s">
        <v>2</v>
      </c>
      <c r="B6" s="83">
        <v>36</v>
      </c>
      <c r="C6" s="83">
        <v>49</v>
      </c>
      <c r="D6" s="83">
        <v>0</v>
      </c>
      <c r="E6" s="84">
        <f>(Table3[[#This Row],[Wins]]/(Table3[[#This Row],[Wins]]+Table3[[#This Row],[Loss]]+Table3[[#This Row],[Tie]]))</f>
        <v>0.42352941176470588</v>
      </c>
      <c r="F6" s="2">
        <v>0</v>
      </c>
      <c r="G6" s="2">
        <v>0</v>
      </c>
      <c r="H6" s="2">
        <f>150+337.5</f>
        <v>487.5</v>
      </c>
      <c r="I6" s="2">
        <v>0</v>
      </c>
      <c r="J6" s="2">
        <v>300</v>
      </c>
      <c r="K6" s="2">
        <f>580+652.5</f>
        <v>1232.5</v>
      </c>
      <c r="L6" s="55">
        <v>0</v>
      </c>
      <c r="M6" s="55">
        <f>'2023'!N4</f>
        <v>100</v>
      </c>
      <c r="N6" s="55">
        <f>'2024'!N4</f>
        <v>0</v>
      </c>
      <c r="O6" s="55">
        <f>'2025'!N4</f>
        <v>875</v>
      </c>
      <c r="P6" s="55"/>
      <c r="Q6" s="4">
        <f t="shared" si="0"/>
        <v>2120</v>
      </c>
    </row>
    <row r="7" spans="1:17" x14ac:dyDescent="0.2">
      <c r="A7" s="5" t="s">
        <v>7</v>
      </c>
      <c r="B7" s="83">
        <v>41</v>
      </c>
      <c r="C7" s="83">
        <v>44</v>
      </c>
      <c r="D7" s="83">
        <v>0</v>
      </c>
      <c r="E7" s="84">
        <f>(Table3[[#This Row],[Wins]]/(Table3[[#This Row],[Wins]]+Table3[[#This Row],[Loss]]+Table3[[#This Row],[Tie]]))</f>
        <v>0.4823529411764706</v>
      </c>
      <c r="F7" s="2">
        <v>0</v>
      </c>
      <c r="G7" s="2">
        <f>125+281.25</f>
        <v>406.25</v>
      </c>
      <c r="H7" s="2">
        <v>187.5</v>
      </c>
      <c r="I7" s="2">
        <v>0</v>
      </c>
      <c r="J7" s="2">
        <v>0</v>
      </c>
      <c r="K7" s="2">
        <v>0</v>
      </c>
      <c r="L7" s="55">
        <v>350</v>
      </c>
      <c r="M7" s="55">
        <f>'2023'!N8</f>
        <v>550</v>
      </c>
      <c r="N7" s="55">
        <f>'2024'!N8</f>
        <v>100</v>
      </c>
      <c r="O7" s="55">
        <f>'2025'!N8</f>
        <v>100</v>
      </c>
      <c r="P7" s="55"/>
      <c r="Q7" s="4">
        <f t="shared" si="0"/>
        <v>1593.75</v>
      </c>
    </row>
    <row r="8" spans="1:17" x14ac:dyDescent="0.2">
      <c r="A8" s="5" t="s">
        <v>8</v>
      </c>
      <c r="B8" s="83">
        <v>37</v>
      </c>
      <c r="C8" s="83">
        <v>48</v>
      </c>
      <c r="D8" s="83">
        <v>0</v>
      </c>
      <c r="E8" s="84">
        <f>(Table3[[#This Row],[Wins]]/(Table3[[#This Row],[Wins]]+Table3[[#This Row],[Loss]]+Table3[[#This Row],[Tie]]))</f>
        <v>0.43529411764705883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55">
        <v>1050</v>
      </c>
      <c r="M8" s="55">
        <f>'2023'!N7</f>
        <v>200</v>
      </c>
      <c r="N8" s="55">
        <f>'2024'!N7</f>
        <v>0</v>
      </c>
      <c r="O8" s="55">
        <f>'2025'!N7</f>
        <v>0</v>
      </c>
      <c r="P8" s="55"/>
      <c r="Q8" s="4">
        <f t="shared" si="0"/>
        <v>1250</v>
      </c>
    </row>
    <row r="9" spans="1:17" x14ac:dyDescent="0.2">
      <c r="A9" s="5" t="s">
        <v>3</v>
      </c>
      <c r="B9" s="83">
        <v>40</v>
      </c>
      <c r="C9" s="83">
        <v>45</v>
      </c>
      <c r="D9" s="83">
        <v>0</v>
      </c>
      <c r="E9" s="84">
        <f>(Table3[[#This Row],[Wins]]/(Table3[[#This Row],[Wins]]+Table3[[#This Row],[Loss]]+Table3[[#This Row],[Tie]]))</f>
        <v>0.47058823529411764</v>
      </c>
      <c r="F9" s="2">
        <v>0</v>
      </c>
      <c r="G9" s="2">
        <v>156.25</v>
      </c>
      <c r="H9" s="2">
        <v>0</v>
      </c>
      <c r="I9" s="2">
        <v>200</v>
      </c>
      <c r="J9" s="2">
        <v>0</v>
      </c>
      <c r="K9" s="2">
        <v>290</v>
      </c>
      <c r="L9" s="55">
        <v>0</v>
      </c>
      <c r="M9" s="55">
        <f>'2023'!N9</f>
        <v>200</v>
      </c>
      <c r="N9" s="55">
        <f>'2024'!N9</f>
        <v>900</v>
      </c>
      <c r="O9" s="55">
        <f>'2025'!N9</f>
        <v>600</v>
      </c>
      <c r="P9" s="55"/>
      <c r="Q9" s="4">
        <f t="shared" si="0"/>
        <v>1746.25</v>
      </c>
    </row>
    <row r="10" spans="1:17" x14ac:dyDescent="0.2">
      <c r="A10" s="5" t="s">
        <v>6</v>
      </c>
      <c r="B10" s="83">
        <v>36</v>
      </c>
      <c r="C10" s="83">
        <v>49</v>
      </c>
      <c r="D10" s="83">
        <v>0</v>
      </c>
      <c r="E10" s="84">
        <f>(Table3[[#This Row],[Wins]]/(Table3[[#This Row],[Wins]]+Table3[[#This Row],[Loss]]+Table3[[#This Row],[Tie]]))</f>
        <v>0.42352941176470588</v>
      </c>
      <c r="F10" s="2">
        <v>150</v>
      </c>
      <c r="G10" s="2">
        <v>0</v>
      </c>
      <c r="H10" s="2">
        <v>300</v>
      </c>
      <c r="I10" s="2">
        <v>0</v>
      </c>
      <c r="J10" s="2">
        <v>0</v>
      </c>
      <c r="K10" s="2">
        <v>0</v>
      </c>
      <c r="L10" s="55">
        <v>0</v>
      </c>
      <c r="M10" s="55">
        <f>'2023'!N10</f>
        <v>100</v>
      </c>
      <c r="N10" s="55">
        <f>'2024'!N10</f>
        <v>200</v>
      </c>
      <c r="O10" s="55">
        <f>'2025'!N10</f>
        <v>200</v>
      </c>
      <c r="P10" s="55"/>
      <c r="Q10" s="4">
        <f t="shared" si="0"/>
        <v>750</v>
      </c>
    </row>
    <row r="11" spans="1:17" x14ac:dyDescent="0.2">
      <c r="A11" s="5" t="s">
        <v>5</v>
      </c>
      <c r="B11" s="83">
        <v>41</v>
      </c>
      <c r="C11" s="83">
        <v>43</v>
      </c>
      <c r="D11" s="83">
        <v>1</v>
      </c>
      <c r="E11" s="84">
        <f>(Table3[[#This Row],[Wins]]/(Table3[[#This Row],[Wins]]+Table3[[#This Row],[Loss]]+Table3[[#This Row],[Tie]]))</f>
        <v>0.4823529411764706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55">
        <v>0</v>
      </c>
      <c r="M11" s="55">
        <f>'2023'!N11</f>
        <v>0</v>
      </c>
      <c r="N11" s="55">
        <f>'2024'!N11</f>
        <v>600</v>
      </c>
      <c r="O11" s="55">
        <f>'2025'!N11</f>
        <v>0</v>
      </c>
      <c r="P11" s="55"/>
      <c r="Q11" s="4">
        <f t="shared" si="0"/>
        <v>600</v>
      </c>
    </row>
    <row r="12" spans="1:17" x14ac:dyDescent="0.2">
      <c r="A12" s="5" t="s">
        <v>10</v>
      </c>
      <c r="E12" s="85"/>
      <c r="F12" s="2">
        <f>SUBTOTAL(109,Table3[2016])</f>
        <v>1000</v>
      </c>
      <c r="G12" s="2">
        <f>SUBTOTAL(109,Table3[2017])</f>
        <v>1250</v>
      </c>
      <c r="H12" s="2">
        <f>SUBTOTAL(109,Table3[2018])</f>
        <v>1500</v>
      </c>
      <c r="I12" s="2">
        <f>SUBTOTAL(109,Table3[2019])</f>
        <v>2000</v>
      </c>
      <c r="J12" s="2">
        <f>SUBTOTAL(109,Table3[2020])</f>
        <v>2500</v>
      </c>
      <c r="K12" s="2">
        <f>SUBTOTAL(109,Table3[2021])</f>
        <v>2900</v>
      </c>
      <c r="L12" s="16">
        <f>SUBTOTAL(109,Table3[2022])</f>
        <v>3500</v>
      </c>
      <c r="M12" s="16">
        <f>SUBTOTAL(109,Table3[2023])</f>
        <v>3500</v>
      </c>
      <c r="N12" s="16">
        <f>SUBTOTAL(109,Table3[2024])</f>
        <v>4000</v>
      </c>
      <c r="O12" s="16">
        <f>SUBTOTAL(109,Table3[2025])</f>
        <v>4000</v>
      </c>
      <c r="P12" s="16"/>
      <c r="Q12" s="4">
        <f>SUBTOTAL(109,Table3[Total])</f>
        <v>22150</v>
      </c>
    </row>
    <row r="13" spans="1:17" s="5" customFormat="1" x14ac:dyDescent="0.2">
      <c r="B13" s="83"/>
      <c r="C13" s="83"/>
      <c r="D13" s="83"/>
      <c r="E13" s="84"/>
      <c r="F13"/>
      <c r="G13"/>
      <c r="H13"/>
      <c r="I13"/>
      <c r="J13"/>
      <c r="K13"/>
      <c r="L13" s="14"/>
      <c r="M13" s="14"/>
      <c r="N13" s="14"/>
      <c r="O13" s="14"/>
      <c r="P13" s="14"/>
    </row>
    <row r="14" spans="1:17" x14ac:dyDescent="0.2">
      <c r="F14" s="6"/>
      <c r="G14" s="6"/>
      <c r="H14" s="6"/>
      <c r="I14" s="6"/>
      <c r="J14" s="6"/>
      <c r="K14" s="6"/>
      <c r="L14" s="15"/>
      <c r="M14" s="15"/>
      <c r="N14" s="15"/>
      <c r="O14" s="15"/>
      <c r="P14" s="15"/>
      <c r="Q14" s="6"/>
    </row>
    <row r="15" spans="1:17" x14ac:dyDescent="0.2"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3"/>
    </row>
  </sheetData>
  <phoneticPr fontId="6" type="noConversion"/>
  <pageMargins left="0.7" right="0.7" top="0.75" bottom="0.75" header="0.3" footer="0.3"/>
  <pageSetup orientation="portrait" horizontalDpi="4294967294" verticalDpi="4294967294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F869C-FA7B-CB4D-BB34-5A46488346D6}">
  <dimension ref="A1:C12"/>
  <sheetViews>
    <sheetView tabSelected="1" workbookViewId="0">
      <selection activeCell="E5" sqref="E5"/>
    </sheetView>
  </sheetViews>
  <sheetFormatPr baseColWidth="10" defaultColWidth="11" defaultRowHeight="16" x14ac:dyDescent="0.2"/>
  <cols>
    <col min="2" max="3" width="13.33203125" customWidth="1"/>
  </cols>
  <sheetData>
    <row r="1" spans="1:3" x14ac:dyDescent="0.2">
      <c r="A1" t="s">
        <v>160</v>
      </c>
      <c r="B1" t="s">
        <v>164</v>
      </c>
      <c r="C1" t="s">
        <v>165</v>
      </c>
    </row>
    <row r="2" spans="1:3" x14ac:dyDescent="0.2">
      <c r="A2" t="s">
        <v>63</v>
      </c>
      <c r="B2" s="87">
        <v>0</v>
      </c>
      <c r="C2" s="87"/>
    </row>
    <row r="3" spans="1:3" x14ac:dyDescent="0.2">
      <c r="A3" t="s">
        <v>1</v>
      </c>
      <c r="B3" s="87">
        <v>0</v>
      </c>
      <c r="C3" s="87"/>
    </row>
    <row r="4" spans="1:3" x14ac:dyDescent="0.2">
      <c r="A4" t="s">
        <v>76</v>
      </c>
      <c r="B4" s="87">
        <f>550-175</f>
        <v>375</v>
      </c>
      <c r="C4" s="87"/>
    </row>
    <row r="5" spans="1:3" x14ac:dyDescent="0.2">
      <c r="A5" t="s">
        <v>2</v>
      </c>
      <c r="B5" s="87">
        <v>-400</v>
      </c>
      <c r="C5" s="87"/>
    </row>
    <row r="6" spans="1:3" x14ac:dyDescent="0.2">
      <c r="A6" t="s">
        <v>9</v>
      </c>
      <c r="B6" s="87">
        <v>-400</v>
      </c>
      <c r="C6" s="87"/>
    </row>
    <row r="7" spans="1:3" x14ac:dyDescent="0.2">
      <c r="A7" t="s">
        <v>6</v>
      </c>
      <c r="B7" s="87">
        <v>-400</v>
      </c>
      <c r="C7" s="87"/>
    </row>
    <row r="8" spans="1:3" x14ac:dyDescent="0.2">
      <c r="A8" t="s">
        <v>3</v>
      </c>
      <c r="B8" s="87">
        <v>-400</v>
      </c>
      <c r="C8" s="87"/>
    </row>
    <row r="9" spans="1:3" x14ac:dyDescent="0.2">
      <c r="A9" t="s">
        <v>5</v>
      </c>
      <c r="B9" s="87">
        <v>-400</v>
      </c>
      <c r="C9" s="87"/>
    </row>
    <row r="10" spans="1:3" x14ac:dyDescent="0.2">
      <c r="A10" t="s">
        <v>8</v>
      </c>
      <c r="B10" s="87">
        <v>-400</v>
      </c>
      <c r="C10" s="87"/>
    </row>
    <row r="11" spans="1:3" x14ac:dyDescent="0.2">
      <c r="A11" t="s">
        <v>7</v>
      </c>
      <c r="B11" s="87">
        <v>-400</v>
      </c>
      <c r="C11" s="87"/>
    </row>
    <row r="12" spans="1:3" x14ac:dyDescent="0.2">
      <c r="A12" t="s">
        <v>10</v>
      </c>
      <c r="B12" s="86">
        <f>SUBTOTAL(109,Table1[2026 ($400)])</f>
        <v>-2425</v>
      </c>
      <c r="C12" s="86"/>
    </row>
  </sheetData>
  <phoneticPr fontId="6" type="noConversion"/>
  <pageMargins left="0.7" right="0.7" top="0.75" bottom="0.75" header="0.3" footer="0.3"/>
  <pageSetup orientation="portrait" horizontalDpi="4294967294" verticalDpi="4294967294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B0AAB-F862-FF4B-A062-4E6C0BE79F20}">
  <dimension ref="A2:B11"/>
  <sheetViews>
    <sheetView workbookViewId="0">
      <selection activeCell="B5" sqref="B5"/>
    </sheetView>
  </sheetViews>
  <sheetFormatPr baseColWidth="10" defaultColWidth="11" defaultRowHeight="16" x14ac:dyDescent="0.2"/>
  <cols>
    <col min="1" max="1" width="3.1640625" bestFit="1" customWidth="1"/>
    <col min="2" max="2" width="58.83203125" customWidth="1"/>
  </cols>
  <sheetData>
    <row r="2" spans="1:2" x14ac:dyDescent="0.2">
      <c r="A2" s="1">
        <v>1</v>
      </c>
      <c r="B2" t="s">
        <v>162</v>
      </c>
    </row>
    <row r="3" spans="1:2" x14ac:dyDescent="0.2">
      <c r="A3" s="1">
        <v>2</v>
      </c>
      <c r="B3" t="s">
        <v>163</v>
      </c>
    </row>
    <row r="4" spans="1:2" x14ac:dyDescent="0.2">
      <c r="A4" s="1">
        <v>3</v>
      </c>
      <c r="B4" t="s">
        <v>167</v>
      </c>
    </row>
    <row r="5" spans="1:2" x14ac:dyDescent="0.2">
      <c r="A5" s="1">
        <v>4</v>
      </c>
    </row>
    <row r="6" spans="1:2" x14ac:dyDescent="0.2">
      <c r="A6" s="1">
        <v>5</v>
      </c>
    </row>
    <row r="7" spans="1:2" x14ac:dyDescent="0.2">
      <c r="A7" s="1">
        <v>6</v>
      </c>
    </row>
    <row r="8" spans="1:2" x14ac:dyDescent="0.2">
      <c r="A8" s="1">
        <v>7</v>
      </c>
    </row>
    <row r="9" spans="1:2" x14ac:dyDescent="0.2">
      <c r="A9" s="1">
        <v>8</v>
      </c>
    </row>
    <row r="10" spans="1:2" x14ac:dyDescent="0.2">
      <c r="A10" s="1">
        <v>9</v>
      </c>
    </row>
    <row r="11" spans="1:2" x14ac:dyDescent="0.2">
      <c r="A11" s="1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EB781-E616-1D40-8D8B-4430D763137A}">
  <dimension ref="A1:F26"/>
  <sheetViews>
    <sheetView topLeftCell="A9" workbookViewId="0">
      <selection activeCell="A10" sqref="A10:D10"/>
    </sheetView>
  </sheetViews>
  <sheetFormatPr baseColWidth="10" defaultColWidth="11" defaultRowHeight="21" x14ac:dyDescent="0.25"/>
  <cols>
    <col min="1" max="1" width="19" style="12" bestFit="1" customWidth="1"/>
    <col min="2" max="2" width="12.1640625" style="12" bestFit="1" customWidth="1"/>
    <col min="3" max="3" width="20.33203125" bestFit="1" customWidth="1"/>
    <col min="4" max="4" width="3.83203125" bestFit="1" customWidth="1"/>
    <col min="5" max="7" width="16.6640625" customWidth="1"/>
    <col min="8" max="8" width="8.5" customWidth="1"/>
  </cols>
  <sheetData>
    <row r="1" spans="1:6" ht="21" customHeight="1" x14ac:dyDescent="0.2">
      <c r="A1" s="105" t="s">
        <v>91</v>
      </c>
      <c r="B1" s="106"/>
      <c r="C1" s="106"/>
      <c r="D1" s="106"/>
      <c r="E1" s="106"/>
      <c r="F1" s="107"/>
    </row>
    <row r="2" spans="1:6" ht="21" customHeight="1" x14ac:dyDescent="0.2">
      <c r="A2" s="108"/>
      <c r="B2" s="109"/>
      <c r="C2" s="109"/>
      <c r="D2" s="109"/>
      <c r="E2" s="109"/>
      <c r="F2" s="110"/>
    </row>
    <row r="3" spans="1:6" ht="21" customHeight="1" x14ac:dyDescent="0.2">
      <c r="A3" s="108"/>
      <c r="B3" s="109"/>
      <c r="C3" s="109"/>
      <c r="D3" s="109"/>
      <c r="E3" s="109"/>
      <c r="F3" s="110"/>
    </row>
    <row r="4" spans="1:6" ht="21" customHeight="1" x14ac:dyDescent="0.2">
      <c r="A4" s="108"/>
      <c r="B4" s="109"/>
      <c r="C4" s="109"/>
      <c r="D4" s="109"/>
      <c r="E4" s="109"/>
      <c r="F4" s="110"/>
    </row>
    <row r="5" spans="1:6" ht="21" customHeight="1" x14ac:dyDescent="0.2">
      <c r="A5" s="108"/>
      <c r="B5" s="109"/>
      <c r="C5" s="109"/>
      <c r="D5" s="109"/>
      <c r="E5" s="109"/>
      <c r="F5" s="110"/>
    </row>
    <row r="6" spans="1:6" ht="21" customHeight="1" x14ac:dyDescent="0.2">
      <c r="A6" s="108"/>
      <c r="B6" s="109"/>
      <c r="C6" s="109"/>
      <c r="D6" s="109"/>
      <c r="E6" s="109"/>
      <c r="F6" s="110"/>
    </row>
    <row r="7" spans="1:6" ht="21" customHeight="1" x14ac:dyDescent="0.2">
      <c r="A7" s="108"/>
      <c r="B7" s="109"/>
      <c r="C7" s="109"/>
      <c r="D7" s="109"/>
      <c r="E7" s="109"/>
      <c r="F7" s="110"/>
    </row>
    <row r="8" spans="1:6" ht="21" customHeight="1" x14ac:dyDescent="0.2">
      <c r="A8" s="108"/>
      <c r="B8" s="109"/>
      <c r="C8" s="109"/>
      <c r="D8" s="109"/>
      <c r="E8" s="109"/>
      <c r="F8" s="110"/>
    </row>
    <row r="9" spans="1:6" ht="43" customHeight="1" x14ac:dyDescent="0.2">
      <c r="A9" s="111"/>
      <c r="B9" s="112"/>
      <c r="C9" s="112"/>
      <c r="D9" s="112"/>
      <c r="E9" s="112"/>
      <c r="F9" s="113"/>
    </row>
    <row r="10" spans="1:6" x14ac:dyDescent="0.25">
      <c r="A10" s="95" t="s">
        <v>74</v>
      </c>
      <c r="B10" s="96"/>
      <c r="C10" s="96"/>
      <c r="D10" s="97"/>
      <c r="E10" s="95" t="s">
        <v>50</v>
      </c>
      <c r="F10" s="97"/>
    </row>
    <row r="11" spans="1:6" x14ac:dyDescent="0.25">
      <c r="A11" s="36" t="s">
        <v>17</v>
      </c>
      <c r="B11" s="50" t="s">
        <v>21</v>
      </c>
      <c r="C11" s="51" t="s">
        <v>27</v>
      </c>
      <c r="D11" s="30">
        <v>3</v>
      </c>
      <c r="E11" s="8" t="s">
        <v>42</v>
      </c>
      <c r="F11" s="9">
        <v>1</v>
      </c>
    </row>
    <row r="12" spans="1:6" x14ac:dyDescent="0.25">
      <c r="A12" s="36" t="s">
        <v>18</v>
      </c>
      <c r="B12" s="50">
        <v>6</v>
      </c>
      <c r="C12" s="51" t="s">
        <v>28</v>
      </c>
      <c r="D12" s="30">
        <v>5</v>
      </c>
      <c r="E12" s="8" t="s">
        <v>43</v>
      </c>
      <c r="F12" s="9">
        <v>2</v>
      </c>
    </row>
    <row r="13" spans="1:6" x14ac:dyDescent="0.25">
      <c r="A13" s="36" t="s">
        <v>19</v>
      </c>
      <c r="B13" s="50">
        <v>2</v>
      </c>
      <c r="C13" s="51" t="s">
        <v>29</v>
      </c>
      <c r="D13" s="30">
        <v>1</v>
      </c>
      <c r="E13" s="8" t="s">
        <v>44</v>
      </c>
      <c r="F13" s="9">
        <v>2</v>
      </c>
    </row>
    <row r="14" spans="1:6" x14ac:dyDescent="0.25">
      <c r="A14" s="36" t="s">
        <v>20</v>
      </c>
      <c r="B14" s="50">
        <v>-2</v>
      </c>
      <c r="C14" s="51" t="s">
        <v>30</v>
      </c>
      <c r="D14" s="30">
        <v>-1</v>
      </c>
      <c r="E14" s="8" t="s">
        <v>45</v>
      </c>
      <c r="F14" s="9">
        <v>1</v>
      </c>
    </row>
    <row r="15" spans="1:6" x14ac:dyDescent="0.25">
      <c r="A15" s="36"/>
      <c r="B15" s="50"/>
      <c r="C15" s="51"/>
      <c r="D15" s="30"/>
      <c r="E15" s="8" t="s">
        <v>46</v>
      </c>
      <c r="F15" s="9">
        <v>1</v>
      </c>
    </row>
    <row r="16" spans="1:6" x14ac:dyDescent="0.25">
      <c r="A16" s="36" t="s">
        <v>22</v>
      </c>
      <c r="B16" s="50">
        <v>0.1</v>
      </c>
      <c r="C16" s="51" t="s">
        <v>31</v>
      </c>
      <c r="D16" s="30">
        <v>6</v>
      </c>
      <c r="E16" s="8" t="s">
        <v>47</v>
      </c>
      <c r="F16" s="9">
        <v>1</v>
      </c>
    </row>
    <row r="17" spans="1:6" x14ac:dyDescent="0.25">
      <c r="A17" s="36" t="s">
        <v>23</v>
      </c>
      <c r="B17" s="50">
        <v>6</v>
      </c>
      <c r="C17" s="51" t="s">
        <v>32</v>
      </c>
      <c r="D17" s="30">
        <v>10</v>
      </c>
      <c r="E17" s="8" t="s">
        <v>48</v>
      </c>
      <c r="F17" s="9">
        <v>6</v>
      </c>
    </row>
    <row r="18" spans="1:6" x14ac:dyDescent="0.25">
      <c r="A18" s="36" t="s">
        <v>19</v>
      </c>
      <c r="B18" s="50">
        <v>2</v>
      </c>
      <c r="C18" s="52" t="s">
        <v>33</v>
      </c>
      <c r="D18" s="30">
        <v>7</v>
      </c>
      <c r="E18" s="10" t="s">
        <v>49</v>
      </c>
      <c r="F18" s="11">
        <v>1</v>
      </c>
    </row>
    <row r="19" spans="1:6" x14ac:dyDescent="0.25">
      <c r="A19" s="36"/>
      <c r="B19" s="50"/>
      <c r="C19" s="51" t="s">
        <v>34</v>
      </c>
      <c r="D19" s="30">
        <v>4</v>
      </c>
    </row>
    <row r="20" spans="1:6" x14ac:dyDescent="0.25">
      <c r="A20" s="36" t="s">
        <v>24</v>
      </c>
      <c r="B20" s="50">
        <v>0.5</v>
      </c>
      <c r="C20" s="51" t="s">
        <v>35</v>
      </c>
      <c r="D20" s="30">
        <v>1</v>
      </c>
    </row>
    <row r="21" spans="1:6" x14ac:dyDescent="0.25">
      <c r="A21" s="36" t="s">
        <v>25</v>
      </c>
      <c r="B21" s="50">
        <v>0.1</v>
      </c>
      <c r="C21" s="51" t="s">
        <v>36</v>
      </c>
      <c r="D21" s="30">
        <v>1</v>
      </c>
    </row>
    <row r="22" spans="1:6" x14ac:dyDescent="0.25">
      <c r="A22" s="36" t="s">
        <v>26</v>
      </c>
      <c r="B22" s="50">
        <v>6</v>
      </c>
      <c r="C22" s="51" t="s">
        <v>37</v>
      </c>
      <c r="D22" s="30">
        <v>-4</v>
      </c>
    </row>
    <row r="23" spans="1:6" x14ac:dyDescent="0.25">
      <c r="A23" s="36"/>
      <c r="B23" s="50"/>
      <c r="C23" s="51" t="s">
        <v>38</v>
      </c>
      <c r="D23" s="30">
        <v>1</v>
      </c>
    </row>
    <row r="24" spans="1:6" x14ac:dyDescent="0.25">
      <c r="A24" s="36" t="s">
        <v>41</v>
      </c>
      <c r="B24" s="50">
        <v>-2</v>
      </c>
      <c r="C24" s="51" t="s">
        <v>20</v>
      </c>
      <c r="D24" s="30">
        <v>2</v>
      </c>
    </row>
    <row r="25" spans="1:6" x14ac:dyDescent="0.25">
      <c r="A25" s="36"/>
      <c r="B25" s="50"/>
      <c r="C25" s="51" t="s">
        <v>39</v>
      </c>
      <c r="D25" s="30">
        <v>2</v>
      </c>
    </row>
    <row r="26" spans="1:6" x14ac:dyDescent="0.25">
      <c r="A26" s="37"/>
      <c r="B26" s="38"/>
      <c r="C26" s="53" t="s">
        <v>40</v>
      </c>
      <c r="D26" s="35">
        <v>2</v>
      </c>
    </row>
  </sheetData>
  <mergeCells count="3">
    <mergeCell ref="E10:F10"/>
    <mergeCell ref="A10:D10"/>
    <mergeCell ref="A1:F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68611-7E2E-9744-848C-CAFCAB71A010}">
  <dimension ref="A1:N20"/>
  <sheetViews>
    <sheetView workbookViewId="0">
      <selection activeCell="A2" sqref="A2:D2"/>
    </sheetView>
  </sheetViews>
  <sheetFormatPr baseColWidth="10" defaultRowHeight="16" x14ac:dyDescent="0.2"/>
  <sheetData>
    <row r="1" spans="1:14" ht="21" x14ac:dyDescent="0.25">
      <c r="A1" s="95" t="s">
        <v>165</v>
      </c>
      <c r="B1" s="96"/>
      <c r="C1" s="96"/>
      <c r="D1" s="97"/>
      <c r="E1" s="98" t="s">
        <v>89</v>
      </c>
      <c r="F1" s="99"/>
      <c r="G1" s="99"/>
      <c r="H1" s="100"/>
      <c r="K1" s="3" t="s">
        <v>150</v>
      </c>
      <c r="L1" s="3" t="s">
        <v>11</v>
      </c>
      <c r="M1" s="3" t="s">
        <v>14</v>
      </c>
      <c r="N1" s="3" t="s">
        <v>10</v>
      </c>
    </row>
    <row r="2" spans="1:14" ht="21" x14ac:dyDescent="0.25">
      <c r="A2" s="92" t="s">
        <v>11</v>
      </c>
      <c r="B2" s="93"/>
      <c r="C2" s="93"/>
      <c r="D2" s="101"/>
      <c r="E2" s="63" t="s">
        <v>84</v>
      </c>
      <c r="F2" s="2">
        <v>4000</v>
      </c>
      <c r="G2" s="5" t="s">
        <v>86</v>
      </c>
      <c r="H2" s="64">
        <v>15</v>
      </c>
      <c r="J2" s="74" t="s">
        <v>1</v>
      </c>
      <c r="K2" s="2"/>
      <c r="L2" s="2"/>
      <c r="M2" s="2"/>
      <c r="N2" s="2">
        <f>SUM(K2:M2)</f>
        <v>0</v>
      </c>
    </row>
    <row r="3" spans="1:14" ht="21" x14ac:dyDescent="0.25">
      <c r="A3" s="8" t="s">
        <v>12</v>
      </c>
      <c r="B3" s="59">
        <v>0.1</v>
      </c>
      <c r="C3" s="45">
        <f>F4*B3</f>
        <v>250</v>
      </c>
      <c r="D3" s="9"/>
      <c r="E3" s="63" t="s">
        <v>82</v>
      </c>
      <c r="F3" s="2">
        <f>H2*H3</f>
        <v>1500</v>
      </c>
      <c r="G3" s="5" t="s">
        <v>87</v>
      </c>
      <c r="H3" s="65">
        <v>100</v>
      </c>
      <c r="J3" s="5" t="s">
        <v>0</v>
      </c>
      <c r="K3" s="2"/>
      <c r="L3" s="2"/>
      <c r="M3" s="2"/>
      <c r="N3" s="2">
        <f t="shared" ref="N3:N11" si="0">SUM(K3:M3)</f>
        <v>0</v>
      </c>
    </row>
    <row r="4" spans="1:14" ht="21" x14ac:dyDescent="0.25">
      <c r="A4" s="8" t="s">
        <v>13</v>
      </c>
      <c r="B4" s="59">
        <v>0.05</v>
      </c>
      <c r="C4" s="45">
        <f>F4*B4</f>
        <v>125</v>
      </c>
      <c r="D4" s="9"/>
      <c r="E4" s="66" t="s">
        <v>85</v>
      </c>
      <c r="F4" s="67">
        <f>F2-F3</f>
        <v>2500</v>
      </c>
      <c r="G4" s="69" t="s">
        <v>88</v>
      </c>
      <c r="H4" s="68">
        <f>B3+B4+B6+B7+B8+B9</f>
        <v>1</v>
      </c>
      <c r="J4" s="74" t="s">
        <v>2</v>
      </c>
      <c r="K4" s="2"/>
      <c r="L4" s="2"/>
      <c r="M4" s="2"/>
      <c r="N4" s="2">
        <f t="shared" si="0"/>
        <v>0</v>
      </c>
    </row>
    <row r="5" spans="1:14" ht="21" x14ac:dyDescent="0.25">
      <c r="A5" s="92" t="s">
        <v>14</v>
      </c>
      <c r="B5" s="93"/>
      <c r="C5" s="93"/>
      <c r="D5" s="93"/>
      <c r="E5" s="102" t="s">
        <v>82</v>
      </c>
      <c r="F5" s="103"/>
      <c r="G5" s="103"/>
      <c r="H5" s="104"/>
      <c r="J5" s="5" t="s">
        <v>4</v>
      </c>
      <c r="K5" s="2"/>
      <c r="L5" s="2"/>
      <c r="M5" s="2"/>
      <c r="N5" s="2">
        <f t="shared" si="0"/>
        <v>0</v>
      </c>
    </row>
    <row r="6" spans="1:14" ht="21" x14ac:dyDescent="0.25">
      <c r="A6" s="8" t="s">
        <v>12</v>
      </c>
      <c r="B6" s="59">
        <v>0.27</v>
      </c>
      <c r="C6" s="61">
        <f>F4*B6</f>
        <v>675</v>
      </c>
      <c r="D6" s="12"/>
      <c r="E6" s="57">
        <v>1</v>
      </c>
      <c r="F6" s="88"/>
      <c r="G6" s="88"/>
      <c r="H6" s="89"/>
      <c r="J6" s="74" t="s">
        <v>9</v>
      </c>
      <c r="K6" s="2"/>
      <c r="L6" s="2"/>
      <c r="M6" s="2"/>
      <c r="N6" s="2">
        <f t="shared" si="0"/>
        <v>0</v>
      </c>
    </row>
    <row r="7" spans="1:14" ht="21" x14ac:dyDescent="0.25">
      <c r="A7" s="8" t="s">
        <v>13</v>
      </c>
      <c r="B7" s="59">
        <v>0.22</v>
      </c>
      <c r="C7" s="61">
        <f>F4*B7</f>
        <v>550</v>
      </c>
      <c r="D7" s="12"/>
      <c r="E7" s="57">
        <v>2</v>
      </c>
      <c r="F7" s="88"/>
      <c r="G7" s="88"/>
      <c r="H7" s="89"/>
      <c r="J7" s="5" t="s">
        <v>8</v>
      </c>
      <c r="K7" s="2"/>
      <c r="L7" s="2"/>
      <c r="M7" s="2"/>
      <c r="N7" s="2">
        <f t="shared" si="0"/>
        <v>0</v>
      </c>
    </row>
    <row r="8" spans="1:14" ht="21" x14ac:dyDescent="0.25">
      <c r="A8" s="8" t="s">
        <v>15</v>
      </c>
      <c r="B8" s="44">
        <v>0.2</v>
      </c>
      <c r="C8" s="61">
        <f>F4*B8</f>
        <v>500</v>
      </c>
      <c r="D8" s="12"/>
      <c r="E8" s="57">
        <v>3</v>
      </c>
      <c r="F8" s="88"/>
      <c r="G8" s="88"/>
      <c r="H8" s="89"/>
      <c r="J8" s="74" t="s">
        <v>7</v>
      </c>
      <c r="K8" s="2"/>
      <c r="L8" s="2"/>
      <c r="M8" s="2"/>
      <c r="N8" s="2">
        <f t="shared" si="0"/>
        <v>0</v>
      </c>
    </row>
    <row r="9" spans="1:14" ht="21" x14ac:dyDescent="0.25">
      <c r="A9" s="10" t="s">
        <v>16</v>
      </c>
      <c r="B9" s="60">
        <v>0.16</v>
      </c>
      <c r="C9" s="62">
        <f>F4*B9</f>
        <v>400</v>
      </c>
      <c r="D9" s="13"/>
      <c r="E9" s="57">
        <v>4</v>
      </c>
      <c r="F9" s="88"/>
      <c r="G9" s="88"/>
      <c r="H9" s="89"/>
      <c r="J9" s="5" t="s">
        <v>3</v>
      </c>
      <c r="K9" s="2"/>
      <c r="L9" s="2"/>
      <c r="M9" s="2"/>
      <c r="N9" s="2">
        <f t="shared" si="0"/>
        <v>0</v>
      </c>
    </row>
    <row r="10" spans="1:14" ht="21" x14ac:dyDescent="0.25">
      <c r="A10" s="92" t="s">
        <v>51</v>
      </c>
      <c r="B10" s="93"/>
      <c r="C10" s="94" t="s">
        <v>59</v>
      </c>
      <c r="D10" s="93"/>
      <c r="E10" s="57">
        <v>5</v>
      </c>
      <c r="F10" s="88"/>
      <c r="G10" s="88"/>
      <c r="H10" s="89"/>
      <c r="J10" s="74" t="s">
        <v>6</v>
      </c>
      <c r="K10" s="2"/>
      <c r="L10" s="2"/>
      <c r="M10" s="2"/>
      <c r="N10" s="2">
        <f t="shared" si="0"/>
        <v>0</v>
      </c>
    </row>
    <row r="11" spans="1:14" ht="21" x14ac:dyDescent="0.25">
      <c r="A11" s="8" t="s">
        <v>12</v>
      </c>
      <c r="B11" s="12"/>
      <c r="C11" s="40" t="s">
        <v>12</v>
      </c>
      <c r="D11" s="12"/>
      <c r="E11" s="57">
        <v>6</v>
      </c>
      <c r="F11" s="88"/>
      <c r="G11" s="88"/>
      <c r="H11" s="89"/>
      <c r="J11" s="5" t="s">
        <v>5</v>
      </c>
      <c r="K11" s="2"/>
      <c r="L11" s="2"/>
      <c r="M11" s="2"/>
      <c r="N11" s="2">
        <f t="shared" si="0"/>
        <v>0</v>
      </c>
    </row>
    <row r="12" spans="1:14" ht="21" x14ac:dyDescent="0.25">
      <c r="A12" s="8" t="s">
        <v>13</v>
      </c>
      <c r="B12" s="12"/>
      <c r="C12" s="40" t="s">
        <v>13</v>
      </c>
      <c r="D12" s="12"/>
      <c r="E12" s="57">
        <v>7</v>
      </c>
      <c r="F12" s="88"/>
      <c r="G12" s="88"/>
      <c r="H12" s="89"/>
      <c r="K12" s="2">
        <f>SUM(K2:K11)</f>
        <v>0</v>
      </c>
      <c r="L12" s="2">
        <f t="shared" ref="L12:N12" si="1">SUM(L2:L11)</f>
        <v>0</v>
      </c>
      <c r="M12" s="2">
        <f t="shared" si="1"/>
        <v>0</v>
      </c>
      <c r="N12" s="2">
        <f t="shared" si="1"/>
        <v>0</v>
      </c>
    </row>
    <row r="13" spans="1:14" ht="21" x14ac:dyDescent="0.25">
      <c r="A13" s="8" t="s">
        <v>15</v>
      </c>
      <c r="B13" s="12"/>
      <c r="C13" s="40" t="s">
        <v>15</v>
      </c>
      <c r="D13" s="12"/>
      <c r="E13" s="57">
        <v>8</v>
      </c>
      <c r="F13" s="88"/>
      <c r="G13" s="88"/>
      <c r="H13" s="89"/>
    </row>
    <row r="14" spans="1:14" ht="21" x14ac:dyDescent="0.25">
      <c r="A14" s="8" t="s">
        <v>16</v>
      </c>
      <c r="B14" s="12"/>
      <c r="C14" s="40" t="s">
        <v>16</v>
      </c>
      <c r="D14" s="12"/>
      <c r="E14" s="57">
        <v>9</v>
      </c>
      <c r="F14" s="88"/>
      <c r="G14" s="88"/>
      <c r="H14" s="89"/>
    </row>
    <row r="15" spans="1:14" ht="21" x14ac:dyDescent="0.25">
      <c r="A15" s="8" t="s">
        <v>52</v>
      </c>
      <c r="B15" s="12"/>
      <c r="C15" s="40" t="s">
        <v>52</v>
      </c>
      <c r="D15" s="12"/>
      <c r="E15" s="57">
        <v>10</v>
      </c>
      <c r="F15" s="88"/>
      <c r="G15" s="88"/>
      <c r="H15" s="89"/>
    </row>
    <row r="16" spans="1:14" ht="21" x14ac:dyDescent="0.25">
      <c r="A16" s="8" t="s">
        <v>53</v>
      </c>
      <c r="B16" s="12"/>
      <c r="C16" s="40" t="s">
        <v>53</v>
      </c>
      <c r="D16" s="12"/>
      <c r="E16" s="57">
        <v>11</v>
      </c>
      <c r="F16" s="88"/>
      <c r="G16" s="88"/>
      <c r="H16" s="89"/>
    </row>
    <row r="17" spans="1:8" ht="21" x14ac:dyDescent="0.25">
      <c r="A17" s="8" t="s">
        <v>54</v>
      </c>
      <c r="B17" s="12"/>
      <c r="C17" s="40" t="s">
        <v>54</v>
      </c>
      <c r="D17" s="12"/>
      <c r="E17" s="57">
        <v>12</v>
      </c>
      <c r="F17" s="88"/>
      <c r="G17" s="88"/>
      <c r="H17" s="89"/>
    </row>
    <row r="18" spans="1:8" ht="21" x14ac:dyDescent="0.25">
      <c r="A18" s="8" t="s">
        <v>55</v>
      </c>
      <c r="B18" s="12"/>
      <c r="C18" s="40" t="s">
        <v>55</v>
      </c>
      <c r="D18" s="12"/>
      <c r="E18" s="57">
        <v>13</v>
      </c>
      <c r="F18" s="88"/>
      <c r="G18" s="88"/>
      <c r="H18" s="89"/>
    </row>
    <row r="19" spans="1:8" ht="21" x14ac:dyDescent="0.25">
      <c r="A19" s="8" t="s">
        <v>56</v>
      </c>
      <c r="B19" s="12"/>
      <c r="C19" s="40" t="s">
        <v>56</v>
      </c>
      <c r="D19" s="12"/>
      <c r="E19" s="57">
        <v>14</v>
      </c>
      <c r="F19" s="88"/>
      <c r="G19" s="88"/>
      <c r="H19" s="89"/>
    </row>
    <row r="20" spans="1:8" ht="22" thickBot="1" x14ac:dyDescent="0.3">
      <c r="A20" s="10" t="s">
        <v>57</v>
      </c>
      <c r="B20" s="13"/>
      <c r="C20" s="42" t="s">
        <v>57</v>
      </c>
      <c r="D20" s="56"/>
      <c r="E20" s="58">
        <v>15</v>
      </c>
      <c r="F20" s="90"/>
      <c r="G20" s="90"/>
      <c r="H20" s="91"/>
    </row>
  </sheetData>
  <mergeCells count="22">
    <mergeCell ref="F6:H6"/>
    <mergeCell ref="A1:D1"/>
    <mergeCell ref="E1:H1"/>
    <mergeCell ref="A2:D2"/>
    <mergeCell ref="A5:D5"/>
    <mergeCell ref="E5:H5"/>
    <mergeCell ref="F7:H7"/>
    <mergeCell ref="F8:H8"/>
    <mergeCell ref="F9:H9"/>
    <mergeCell ref="A10:B10"/>
    <mergeCell ref="C10:D10"/>
    <mergeCell ref="F10:H10"/>
    <mergeCell ref="F17:H17"/>
    <mergeCell ref="F18:H18"/>
    <mergeCell ref="F19:H19"/>
    <mergeCell ref="F20:H20"/>
    <mergeCell ref="F11:H11"/>
    <mergeCell ref="F12:H12"/>
    <mergeCell ref="F13:H13"/>
    <mergeCell ref="F14:H14"/>
    <mergeCell ref="F15:H15"/>
    <mergeCell ref="F16:H16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7A3977F-E7D1-F74F-8451-BF5B69886A4A}">
          <x14:formula1>
            <xm:f>Sheet2!$A$2:$A$11</xm:f>
          </x14:formula1>
          <xm:sqref>B11:B20 F6:H20 D6:D9 D3:D4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36461-4B0A-7547-ABCF-D81401F37F8C}">
  <dimension ref="A1:N20"/>
  <sheetViews>
    <sheetView workbookViewId="0">
      <selection activeCell="B9" sqref="B9"/>
    </sheetView>
  </sheetViews>
  <sheetFormatPr baseColWidth="10" defaultRowHeight="16" x14ac:dyDescent="0.2"/>
  <cols>
    <col min="4" max="4" width="12.83203125" customWidth="1"/>
    <col min="11" max="11" width="15.6640625" bestFit="1" customWidth="1"/>
    <col min="12" max="12" width="13.83203125" bestFit="1" customWidth="1"/>
  </cols>
  <sheetData>
    <row r="1" spans="1:14" ht="21" x14ac:dyDescent="0.25">
      <c r="A1" s="95" t="s">
        <v>164</v>
      </c>
      <c r="B1" s="96"/>
      <c r="C1" s="96"/>
      <c r="D1" s="97"/>
      <c r="E1" s="98" t="s">
        <v>89</v>
      </c>
      <c r="F1" s="99"/>
      <c r="G1" s="99"/>
      <c r="H1" s="100"/>
      <c r="K1" s="3" t="s">
        <v>150</v>
      </c>
      <c r="L1" s="3" t="s">
        <v>11</v>
      </c>
      <c r="M1" s="3" t="s">
        <v>14</v>
      </c>
      <c r="N1" s="3" t="s">
        <v>10</v>
      </c>
    </row>
    <row r="2" spans="1:14" ht="21" x14ac:dyDescent="0.25">
      <c r="A2" s="92" t="s">
        <v>11</v>
      </c>
      <c r="B2" s="93"/>
      <c r="C2" s="93"/>
      <c r="D2" s="101"/>
      <c r="E2" s="63" t="s">
        <v>84</v>
      </c>
      <c r="F2" s="2">
        <v>4000</v>
      </c>
      <c r="G2" s="5" t="s">
        <v>86</v>
      </c>
      <c r="H2" s="64">
        <v>15</v>
      </c>
      <c r="J2" s="74" t="s">
        <v>1</v>
      </c>
      <c r="K2" s="2"/>
      <c r="L2" s="2"/>
      <c r="M2" s="2"/>
      <c r="N2" s="2">
        <f>SUM(K2:M2)</f>
        <v>0</v>
      </c>
    </row>
    <row r="3" spans="1:14" ht="21" x14ac:dyDescent="0.25">
      <c r="A3" s="8" t="s">
        <v>12</v>
      </c>
      <c r="B3" s="59">
        <v>0.1</v>
      </c>
      <c r="C3" s="45">
        <f>F4*B3</f>
        <v>250</v>
      </c>
      <c r="D3" s="9"/>
      <c r="E3" s="63" t="s">
        <v>82</v>
      </c>
      <c r="F3" s="2">
        <f>H2*H3</f>
        <v>1500</v>
      </c>
      <c r="G3" s="5" t="s">
        <v>87</v>
      </c>
      <c r="H3" s="65">
        <v>100</v>
      </c>
      <c r="J3" s="5" t="s">
        <v>0</v>
      </c>
      <c r="K3" s="2"/>
      <c r="L3" s="2"/>
      <c r="M3" s="2"/>
      <c r="N3" s="2">
        <f t="shared" ref="N3:N11" si="0">SUM(K3:M3)</f>
        <v>0</v>
      </c>
    </row>
    <row r="4" spans="1:14" ht="21" x14ac:dyDescent="0.25">
      <c r="A4" s="8" t="s">
        <v>13</v>
      </c>
      <c r="B4" s="59">
        <v>0.05</v>
      </c>
      <c r="C4" s="45">
        <f>F4*B4</f>
        <v>125</v>
      </c>
      <c r="D4" s="9"/>
      <c r="E4" s="66" t="s">
        <v>85</v>
      </c>
      <c r="F4" s="67">
        <f>F2-F3</f>
        <v>2500</v>
      </c>
      <c r="G4" s="69" t="s">
        <v>88</v>
      </c>
      <c r="H4" s="68">
        <f>B3+B4+B6+B7+B8+B9</f>
        <v>1</v>
      </c>
      <c r="J4" s="74" t="s">
        <v>2</v>
      </c>
      <c r="K4" s="2"/>
      <c r="L4" s="2"/>
      <c r="M4" s="2"/>
      <c r="N4" s="2">
        <f t="shared" si="0"/>
        <v>0</v>
      </c>
    </row>
    <row r="5" spans="1:14" ht="21" x14ac:dyDescent="0.25">
      <c r="A5" s="92" t="s">
        <v>14</v>
      </c>
      <c r="B5" s="93"/>
      <c r="C5" s="93"/>
      <c r="D5" s="93"/>
      <c r="E5" s="102" t="s">
        <v>82</v>
      </c>
      <c r="F5" s="103"/>
      <c r="G5" s="103"/>
      <c r="H5" s="104"/>
      <c r="J5" s="5" t="s">
        <v>4</v>
      </c>
      <c r="K5" s="2"/>
      <c r="L5" s="2"/>
      <c r="M5" s="2"/>
      <c r="N5" s="2">
        <f t="shared" si="0"/>
        <v>0</v>
      </c>
    </row>
    <row r="6" spans="1:14" ht="21" x14ac:dyDescent="0.25">
      <c r="A6" s="8" t="s">
        <v>12</v>
      </c>
      <c r="B6" s="59">
        <v>0.27</v>
      </c>
      <c r="C6" s="61">
        <f>F4*B6</f>
        <v>675</v>
      </c>
      <c r="D6" s="12"/>
      <c r="E6" s="57">
        <v>1</v>
      </c>
      <c r="F6" s="88"/>
      <c r="G6" s="88"/>
      <c r="H6" s="89"/>
      <c r="J6" s="74" t="s">
        <v>9</v>
      </c>
      <c r="K6" s="2"/>
      <c r="L6" s="2"/>
      <c r="M6" s="2"/>
      <c r="N6" s="2">
        <f t="shared" si="0"/>
        <v>0</v>
      </c>
    </row>
    <row r="7" spans="1:14" ht="21" x14ac:dyDescent="0.25">
      <c r="A7" s="8" t="s">
        <v>13</v>
      </c>
      <c r="B7" s="59">
        <v>0.23</v>
      </c>
      <c r="C7" s="61">
        <f>F4*B7</f>
        <v>575</v>
      </c>
      <c r="D7" s="12"/>
      <c r="E7" s="57">
        <v>2</v>
      </c>
      <c r="F7" s="88"/>
      <c r="G7" s="88"/>
      <c r="H7" s="89"/>
      <c r="J7" s="5" t="s">
        <v>8</v>
      </c>
      <c r="K7" s="2"/>
      <c r="L7" s="2"/>
      <c r="M7" s="2"/>
      <c r="N7" s="2">
        <f t="shared" si="0"/>
        <v>0</v>
      </c>
    </row>
    <row r="8" spans="1:14" ht="21" x14ac:dyDescent="0.25">
      <c r="A8" s="8" t="s">
        <v>15</v>
      </c>
      <c r="B8" s="44">
        <v>0.19</v>
      </c>
      <c r="C8" s="61">
        <f>F4*B8</f>
        <v>475</v>
      </c>
      <c r="D8" s="12"/>
      <c r="E8" s="57">
        <v>3</v>
      </c>
      <c r="F8" s="88"/>
      <c r="G8" s="88"/>
      <c r="H8" s="89"/>
      <c r="J8" s="74" t="s">
        <v>7</v>
      </c>
      <c r="K8" s="2"/>
      <c r="L8" s="2"/>
      <c r="M8" s="2"/>
      <c r="N8" s="2">
        <f t="shared" si="0"/>
        <v>0</v>
      </c>
    </row>
    <row r="9" spans="1:14" ht="21" x14ac:dyDescent="0.25">
      <c r="A9" s="10" t="s">
        <v>16</v>
      </c>
      <c r="B9" s="60">
        <v>0.16</v>
      </c>
      <c r="C9" s="62">
        <f>F4*B9</f>
        <v>400</v>
      </c>
      <c r="D9" s="13"/>
      <c r="E9" s="57">
        <v>4</v>
      </c>
      <c r="F9" s="88"/>
      <c r="G9" s="88"/>
      <c r="H9" s="89"/>
      <c r="J9" s="5" t="s">
        <v>3</v>
      </c>
      <c r="K9" s="2"/>
      <c r="L9" s="2"/>
      <c r="M9" s="2"/>
      <c r="N9" s="2">
        <f t="shared" si="0"/>
        <v>0</v>
      </c>
    </row>
    <row r="10" spans="1:14" ht="21" x14ac:dyDescent="0.25">
      <c r="A10" s="92" t="s">
        <v>51</v>
      </c>
      <c r="B10" s="93"/>
      <c r="C10" s="94" t="s">
        <v>59</v>
      </c>
      <c r="D10" s="93"/>
      <c r="E10" s="57">
        <v>5</v>
      </c>
      <c r="F10" s="88"/>
      <c r="G10" s="88"/>
      <c r="H10" s="89"/>
      <c r="J10" s="74" t="s">
        <v>6</v>
      </c>
      <c r="K10" s="2"/>
      <c r="L10" s="2"/>
      <c r="M10" s="2"/>
      <c r="N10" s="2">
        <f t="shared" si="0"/>
        <v>0</v>
      </c>
    </row>
    <row r="11" spans="1:14" ht="21" x14ac:dyDescent="0.25">
      <c r="A11" s="8" t="s">
        <v>12</v>
      </c>
      <c r="B11" s="12" t="s">
        <v>6</v>
      </c>
      <c r="C11" s="40" t="s">
        <v>12</v>
      </c>
      <c r="D11" s="12"/>
      <c r="E11" s="57">
        <v>6</v>
      </c>
      <c r="F11" s="88"/>
      <c r="G11" s="88"/>
      <c r="H11" s="89"/>
      <c r="J11" s="5" t="s">
        <v>5</v>
      </c>
      <c r="K11" s="2"/>
      <c r="L11" s="2"/>
      <c r="M11" s="2"/>
      <c r="N11" s="2">
        <f t="shared" si="0"/>
        <v>0</v>
      </c>
    </row>
    <row r="12" spans="1:14" ht="21" x14ac:dyDescent="0.25">
      <c r="A12" s="8" t="s">
        <v>13</v>
      </c>
      <c r="B12" s="12" t="s">
        <v>8</v>
      </c>
      <c r="C12" s="40" t="s">
        <v>13</v>
      </c>
      <c r="D12" s="12"/>
      <c r="E12" s="57">
        <v>7</v>
      </c>
      <c r="F12" s="88"/>
      <c r="G12" s="88"/>
      <c r="H12" s="89"/>
      <c r="K12" s="2">
        <f>SUM(K2:K11)</f>
        <v>0</v>
      </c>
      <c r="L12" s="2">
        <f t="shared" ref="L12:N12" si="1">SUM(L2:L11)</f>
        <v>0</v>
      </c>
      <c r="M12" s="2">
        <f t="shared" si="1"/>
        <v>0</v>
      </c>
      <c r="N12" s="2">
        <f t="shared" si="1"/>
        <v>0</v>
      </c>
    </row>
    <row r="13" spans="1:14" ht="21" x14ac:dyDescent="0.25">
      <c r="A13" s="8" t="s">
        <v>15</v>
      </c>
      <c r="B13" s="12" t="s">
        <v>5</v>
      </c>
      <c r="C13" s="40" t="s">
        <v>15</v>
      </c>
      <c r="D13" s="12"/>
      <c r="E13" s="57">
        <v>8</v>
      </c>
      <c r="F13" s="88"/>
      <c r="G13" s="88"/>
      <c r="H13" s="89"/>
    </row>
    <row r="14" spans="1:14" ht="21" x14ac:dyDescent="0.25">
      <c r="A14" s="8" t="s">
        <v>16</v>
      </c>
      <c r="B14" s="12" t="s">
        <v>0</v>
      </c>
      <c r="C14" s="40" t="s">
        <v>16</v>
      </c>
      <c r="D14" s="12"/>
      <c r="E14" s="57">
        <v>9</v>
      </c>
      <c r="F14" s="88"/>
      <c r="G14" s="88"/>
      <c r="H14" s="89"/>
    </row>
    <row r="15" spans="1:14" ht="21" x14ac:dyDescent="0.25">
      <c r="A15" s="8" t="s">
        <v>52</v>
      </c>
      <c r="B15" s="12" t="s">
        <v>1</v>
      </c>
      <c r="C15" s="40" t="s">
        <v>52</v>
      </c>
      <c r="D15" s="12"/>
      <c r="E15" s="57">
        <v>10</v>
      </c>
      <c r="F15" s="88"/>
      <c r="G15" s="88"/>
      <c r="H15" s="89"/>
    </row>
    <row r="16" spans="1:14" ht="21" x14ac:dyDescent="0.25">
      <c r="A16" s="8" t="s">
        <v>53</v>
      </c>
      <c r="B16" s="12" t="s">
        <v>7</v>
      </c>
      <c r="C16" s="40" t="s">
        <v>53</v>
      </c>
      <c r="D16" s="12"/>
      <c r="E16" s="57">
        <v>11</v>
      </c>
      <c r="F16" s="88"/>
      <c r="G16" s="88"/>
      <c r="H16" s="89"/>
    </row>
    <row r="17" spans="1:8" ht="21" x14ac:dyDescent="0.25">
      <c r="A17" s="8" t="s">
        <v>54</v>
      </c>
      <c r="B17" s="12" t="s">
        <v>3</v>
      </c>
      <c r="C17" s="40" t="s">
        <v>54</v>
      </c>
      <c r="D17" s="12"/>
      <c r="E17" s="57">
        <v>12</v>
      </c>
      <c r="F17" s="88"/>
      <c r="G17" s="88"/>
      <c r="H17" s="89"/>
    </row>
    <row r="18" spans="1:8" ht="21" x14ac:dyDescent="0.25">
      <c r="A18" s="8" t="s">
        <v>55</v>
      </c>
      <c r="B18" s="12" t="s">
        <v>4</v>
      </c>
      <c r="C18" s="40" t="s">
        <v>55</v>
      </c>
      <c r="D18" s="12"/>
      <c r="E18" s="57">
        <v>13</v>
      </c>
      <c r="F18" s="88"/>
      <c r="G18" s="88"/>
      <c r="H18" s="89"/>
    </row>
    <row r="19" spans="1:8" ht="21" x14ac:dyDescent="0.25">
      <c r="A19" s="8" t="s">
        <v>56</v>
      </c>
      <c r="B19" s="12" t="s">
        <v>2</v>
      </c>
      <c r="C19" s="40" t="s">
        <v>56</v>
      </c>
      <c r="D19" s="12"/>
      <c r="E19" s="57">
        <v>14</v>
      </c>
      <c r="F19" s="88"/>
      <c r="G19" s="88"/>
      <c r="H19" s="89"/>
    </row>
    <row r="20" spans="1:8" ht="22" thickBot="1" x14ac:dyDescent="0.3">
      <c r="A20" s="10" t="s">
        <v>57</v>
      </c>
      <c r="B20" s="13" t="s">
        <v>134</v>
      </c>
      <c r="C20" s="42" t="s">
        <v>57</v>
      </c>
      <c r="D20" s="56"/>
      <c r="E20" s="58">
        <v>15</v>
      </c>
      <c r="F20" s="90"/>
      <c r="G20" s="90"/>
      <c r="H20" s="91"/>
    </row>
  </sheetData>
  <mergeCells count="22">
    <mergeCell ref="F17:H17"/>
    <mergeCell ref="F18:H18"/>
    <mergeCell ref="F19:H19"/>
    <mergeCell ref="F20:H20"/>
    <mergeCell ref="F11:H11"/>
    <mergeCell ref="F12:H12"/>
    <mergeCell ref="F13:H13"/>
    <mergeCell ref="F14:H14"/>
    <mergeCell ref="F15:H15"/>
    <mergeCell ref="F16:H16"/>
    <mergeCell ref="F7:H7"/>
    <mergeCell ref="F8:H8"/>
    <mergeCell ref="F9:H9"/>
    <mergeCell ref="A10:B10"/>
    <mergeCell ref="C10:D10"/>
    <mergeCell ref="F10:H10"/>
    <mergeCell ref="F6:H6"/>
    <mergeCell ref="A1:D1"/>
    <mergeCell ref="E1:H1"/>
    <mergeCell ref="A2:D2"/>
    <mergeCell ref="A5:D5"/>
    <mergeCell ref="E5:H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8CE237A-45C5-2A43-A654-50AC74A5189D}">
          <x14:formula1>
            <xm:f>Sheet2!$A$2:$A$11</xm:f>
          </x14:formula1>
          <xm:sqref>B11:B20 F6:H20 D6:D9 D3:D4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84CC5-3447-5242-A0CA-7FAD64DF8A71}">
  <dimension ref="A1:N20"/>
  <sheetViews>
    <sheetView workbookViewId="0">
      <selection activeCell="B7" sqref="B7"/>
    </sheetView>
  </sheetViews>
  <sheetFormatPr baseColWidth="10" defaultRowHeight="16" x14ac:dyDescent="0.2"/>
  <cols>
    <col min="3" max="3" width="13" customWidth="1"/>
    <col min="4" max="4" width="18.6640625" customWidth="1"/>
    <col min="5" max="5" width="14.5" bestFit="1" customWidth="1"/>
    <col min="11" max="11" width="15.6640625" bestFit="1" customWidth="1"/>
    <col min="12" max="12" width="13.83203125" bestFit="1" customWidth="1"/>
  </cols>
  <sheetData>
    <row r="1" spans="1:14" ht="21" x14ac:dyDescent="0.25">
      <c r="A1" s="95" t="s">
        <v>153</v>
      </c>
      <c r="B1" s="96"/>
      <c r="C1" s="96"/>
      <c r="D1" s="97"/>
      <c r="E1" s="98" t="s">
        <v>89</v>
      </c>
      <c r="F1" s="99"/>
      <c r="G1" s="99"/>
      <c r="H1" s="100"/>
      <c r="K1" s="3" t="s">
        <v>150</v>
      </c>
      <c r="L1" s="3" t="s">
        <v>11</v>
      </c>
      <c r="M1" s="3" t="s">
        <v>14</v>
      </c>
      <c r="N1" s="3" t="s">
        <v>10</v>
      </c>
    </row>
    <row r="2" spans="1:14" ht="21" x14ac:dyDescent="0.25">
      <c r="A2" s="92" t="s">
        <v>11</v>
      </c>
      <c r="B2" s="93"/>
      <c r="C2" s="93"/>
      <c r="D2" s="101"/>
      <c r="E2" s="63" t="s">
        <v>84</v>
      </c>
      <c r="F2" s="2">
        <v>4000</v>
      </c>
      <c r="G2" s="5" t="s">
        <v>86</v>
      </c>
      <c r="H2" s="64">
        <v>15</v>
      </c>
      <c r="J2" s="74" t="s">
        <v>1</v>
      </c>
      <c r="K2" s="2">
        <v>100</v>
      </c>
      <c r="L2" s="2">
        <v>0</v>
      </c>
      <c r="M2" s="2">
        <v>0</v>
      </c>
      <c r="N2" s="2">
        <f>SUM(K2:M2)</f>
        <v>100</v>
      </c>
    </row>
    <row r="3" spans="1:14" ht="21" x14ac:dyDescent="0.25">
      <c r="A3" s="8" t="s">
        <v>12</v>
      </c>
      <c r="B3" s="59">
        <v>0.1</v>
      </c>
      <c r="C3" s="45">
        <f>F4*B3</f>
        <v>250</v>
      </c>
      <c r="D3" s="9" t="s">
        <v>134</v>
      </c>
      <c r="E3" s="63" t="s">
        <v>82</v>
      </c>
      <c r="F3" s="2">
        <f>H2*H3</f>
        <v>1500</v>
      </c>
      <c r="G3" s="5" t="s">
        <v>87</v>
      </c>
      <c r="H3" s="65">
        <v>100</v>
      </c>
      <c r="J3" s="5" t="s">
        <v>0</v>
      </c>
      <c r="K3" s="2">
        <v>0</v>
      </c>
      <c r="L3" s="2">
        <v>0</v>
      </c>
      <c r="M3" s="2">
        <v>0</v>
      </c>
      <c r="N3" s="2">
        <f t="shared" ref="N3:N11" si="0">SUM(K3:M3)</f>
        <v>0</v>
      </c>
    </row>
    <row r="4" spans="1:14" ht="21" x14ac:dyDescent="0.25">
      <c r="A4" s="8" t="s">
        <v>13</v>
      </c>
      <c r="B4" s="59">
        <v>0.05</v>
      </c>
      <c r="C4" s="45">
        <f>F4*B4</f>
        <v>125</v>
      </c>
      <c r="D4" s="9" t="s">
        <v>2</v>
      </c>
      <c r="E4" s="66" t="s">
        <v>85</v>
      </c>
      <c r="F4" s="67">
        <f>F2-F3</f>
        <v>2500</v>
      </c>
      <c r="G4" s="69" t="s">
        <v>88</v>
      </c>
      <c r="H4" s="68">
        <f>B3+B4+B6+B7+B8+B9</f>
        <v>1</v>
      </c>
      <c r="J4" s="74" t="s">
        <v>2</v>
      </c>
      <c r="K4" s="2">
        <v>200</v>
      </c>
      <c r="L4" s="2">
        <v>125</v>
      </c>
      <c r="M4" s="2">
        <v>550</v>
      </c>
      <c r="N4" s="2">
        <f t="shared" si="0"/>
        <v>875</v>
      </c>
    </row>
    <row r="5" spans="1:14" ht="21" x14ac:dyDescent="0.25">
      <c r="A5" s="92" t="s">
        <v>14</v>
      </c>
      <c r="B5" s="93"/>
      <c r="C5" s="93"/>
      <c r="D5" s="93"/>
      <c r="E5" s="102" t="s">
        <v>82</v>
      </c>
      <c r="F5" s="103"/>
      <c r="G5" s="103"/>
      <c r="H5" s="104"/>
      <c r="J5" s="5" t="s">
        <v>4</v>
      </c>
      <c r="K5" s="2">
        <v>300</v>
      </c>
      <c r="L5" s="2">
        <v>0</v>
      </c>
      <c r="M5" s="2">
        <v>500</v>
      </c>
      <c r="N5" s="2">
        <f t="shared" si="0"/>
        <v>800</v>
      </c>
    </row>
    <row r="6" spans="1:14" ht="21" x14ac:dyDescent="0.25">
      <c r="A6" s="8" t="s">
        <v>12</v>
      </c>
      <c r="B6" s="59">
        <v>0.27</v>
      </c>
      <c r="C6" s="61">
        <f>F4*B6</f>
        <v>675</v>
      </c>
      <c r="D6" s="12" t="s">
        <v>134</v>
      </c>
      <c r="E6" s="57">
        <v>1</v>
      </c>
      <c r="F6" s="88" t="s">
        <v>4</v>
      </c>
      <c r="G6" s="88"/>
      <c r="H6" s="89"/>
      <c r="J6" s="74" t="s">
        <v>9</v>
      </c>
      <c r="K6" s="2">
        <v>400</v>
      </c>
      <c r="L6" s="2">
        <v>250</v>
      </c>
      <c r="M6" s="2">
        <v>675</v>
      </c>
      <c r="N6" s="2">
        <f t="shared" si="0"/>
        <v>1325</v>
      </c>
    </row>
    <row r="7" spans="1:14" ht="21" x14ac:dyDescent="0.25">
      <c r="A7" s="8" t="s">
        <v>13</v>
      </c>
      <c r="B7" s="59">
        <v>0.22</v>
      </c>
      <c r="C7" s="61">
        <f>F4*B7</f>
        <v>550</v>
      </c>
      <c r="D7" s="12" t="s">
        <v>2</v>
      </c>
      <c r="E7" s="57">
        <v>2</v>
      </c>
      <c r="F7" s="88" t="s">
        <v>3</v>
      </c>
      <c r="G7" s="88"/>
      <c r="H7" s="89"/>
      <c r="J7" s="5" t="s">
        <v>8</v>
      </c>
      <c r="K7" s="2">
        <v>0</v>
      </c>
      <c r="L7" s="2">
        <v>0</v>
      </c>
      <c r="M7" s="2">
        <v>0</v>
      </c>
      <c r="N7" s="2">
        <f t="shared" si="0"/>
        <v>0</v>
      </c>
    </row>
    <row r="8" spans="1:14" ht="21" x14ac:dyDescent="0.25">
      <c r="A8" s="8" t="s">
        <v>15</v>
      </c>
      <c r="B8" s="44">
        <v>0.2</v>
      </c>
      <c r="C8" s="61">
        <f>F4*B8</f>
        <v>500</v>
      </c>
      <c r="D8" s="12" t="s">
        <v>4</v>
      </c>
      <c r="E8" s="57">
        <v>3</v>
      </c>
      <c r="F8" s="88" t="s">
        <v>134</v>
      </c>
      <c r="G8" s="88"/>
      <c r="H8" s="89"/>
      <c r="J8" s="74" t="s">
        <v>7</v>
      </c>
      <c r="K8" s="2">
        <v>100</v>
      </c>
      <c r="L8" s="2">
        <v>0</v>
      </c>
      <c r="M8" s="2">
        <v>0</v>
      </c>
      <c r="N8" s="2">
        <f t="shared" si="0"/>
        <v>100</v>
      </c>
    </row>
    <row r="9" spans="1:14" ht="21" x14ac:dyDescent="0.25">
      <c r="A9" s="10" t="s">
        <v>16</v>
      </c>
      <c r="B9" s="60">
        <v>0.16</v>
      </c>
      <c r="C9" s="62">
        <f>F4*B9</f>
        <v>400</v>
      </c>
      <c r="D9" s="13" t="s">
        <v>3</v>
      </c>
      <c r="E9" s="57">
        <v>4</v>
      </c>
      <c r="F9" s="88" t="s">
        <v>7</v>
      </c>
      <c r="G9" s="88"/>
      <c r="H9" s="89"/>
      <c r="J9" s="5" t="s">
        <v>3</v>
      </c>
      <c r="K9" s="2">
        <v>200</v>
      </c>
      <c r="L9" s="2">
        <v>0</v>
      </c>
      <c r="M9" s="2">
        <v>400</v>
      </c>
      <c r="N9" s="2">
        <f t="shared" si="0"/>
        <v>600</v>
      </c>
    </row>
    <row r="10" spans="1:14" ht="21" x14ac:dyDescent="0.25">
      <c r="A10" s="92" t="s">
        <v>51</v>
      </c>
      <c r="B10" s="93"/>
      <c r="C10" s="94" t="s">
        <v>59</v>
      </c>
      <c r="D10" s="93"/>
      <c r="E10" s="57">
        <v>5</v>
      </c>
      <c r="F10" s="88" t="s">
        <v>134</v>
      </c>
      <c r="G10" s="88"/>
      <c r="H10" s="89"/>
      <c r="J10" s="74" t="s">
        <v>6</v>
      </c>
      <c r="K10" s="2">
        <v>200</v>
      </c>
      <c r="L10" s="2">
        <v>0</v>
      </c>
      <c r="M10" s="2">
        <v>0</v>
      </c>
      <c r="N10" s="2">
        <f t="shared" si="0"/>
        <v>200</v>
      </c>
    </row>
    <row r="11" spans="1:14" ht="21" x14ac:dyDescent="0.25">
      <c r="A11" s="8" t="s">
        <v>12</v>
      </c>
      <c r="B11" s="12" t="s">
        <v>8</v>
      </c>
      <c r="C11" s="40" t="s">
        <v>12</v>
      </c>
      <c r="D11" s="12" t="s">
        <v>134</v>
      </c>
      <c r="E11" s="57">
        <v>6</v>
      </c>
      <c r="F11" s="88" t="s">
        <v>4</v>
      </c>
      <c r="G11" s="88"/>
      <c r="H11" s="89"/>
      <c r="J11" s="5" t="s">
        <v>5</v>
      </c>
      <c r="K11" s="2">
        <v>0</v>
      </c>
      <c r="L11" s="2">
        <v>0</v>
      </c>
      <c r="M11" s="2">
        <v>0</v>
      </c>
      <c r="N11" s="2">
        <f t="shared" si="0"/>
        <v>0</v>
      </c>
    </row>
    <row r="12" spans="1:14" ht="21" x14ac:dyDescent="0.25">
      <c r="A12" s="8" t="s">
        <v>13</v>
      </c>
      <c r="B12" s="12" t="s">
        <v>2</v>
      </c>
      <c r="C12" s="40" t="s">
        <v>13</v>
      </c>
      <c r="D12" s="12" t="s">
        <v>2</v>
      </c>
      <c r="E12" s="57">
        <v>7</v>
      </c>
      <c r="F12" s="88" t="s">
        <v>6</v>
      </c>
      <c r="G12" s="88"/>
      <c r="H12" s="89"/>
      <c r="K12" s="2">
        <f>SUM(K2:K11)</f>
        <v>1500</v>
      </c>
      <c r="L12" s="2">
        <f t="shared" ref="L12:N12" si="1">SUM(L2:L11)</f>
        <v>375</v>
      </c>
      <c r="M12" s="2">
        <f t="shared" si="1"/>
        <v>2125</v>
      </c>
      <c r="N12" s="2">
        <f t="shared" si="1"/>
        <v>4000</v>
      </c>
    </row>
    <row r="13" spans="1:14" ht="21" x14ac:dyDescent="0.25">
      <c r="A13" s="8" t="s">
        <v>15</v>
      </c>
      <c r="B13" s="12" t="s">
        <v>134</v>
      </c>
      <c r="C13" s="40" t="s">
        <v>15</v>
      </c>
      <c r="D13" s="12" t="s">
        <v>3</v>
      </c>
      <c r="E13" s="57">
        <v>8</v>
      </c>
      <c r="F13" s="88" t="s">
        <v>3</v>
      </c>
      <c r="G13" s="88"/>
      <c r="H13" s="89"/>
    </row>
    <row r="14" spans="1:14" ht="21" x14ac:dyDescent="0.25">
      <c r="A14" s="8" t="s">
        <v>16</v>
      </c>
      <c r="B14" s="12" t="s">
        <v>7</v>
      </c>
      <c r="C14" s="40" t="s">
        <v>16</v>
      </c>
      <c r="D14" s="12" t="s">
        <v>4</v>
      </c>
      <c r="E14" s="57">
        <v>9</v>
      </c>
      <c r="F14" s="88" t="s">
        <v>134</v>
      </c>
      <c r="G14" s="88"/>
      <c r="H14" s="89"/>
    </row>
    <row r="15" spans="1:14" ht="21" x14ac:dyDescent="0.25">
      <c r="A15" s="8" t="s">
        <v>52</v>
      </c>
      <c r="B15" s="12" t="s">
        <v>6</v>
      </c>
      <c r="C15" s="40" t="s">
        <v>52</v>
      </c>
      <c r="D15" s="12" t="s">
        <v>7</v>
      </c>
      <c r="E15" s="57">
        <v>10</v>
      </c>
      <c r="F15" s="88" t="s">
        <v>2</v>
      </c>
      <c r="G15" s="88"/>
      <c r="H15" s="89"/>
    </row>
    <row r="16" spans="1:14" ht="21" x14ac:dyDescent="0.25">
      <c r="A16" s="8" t="s">
        <v>53</v>
      </c>
      <c r="B16" s="12" t="s">
        <v>0</v>
      </c>
      <c r="C16" s="40" t="s">
        <v>53</v>
      </c>
      <c r="D16" s="12" t="s">
        <v>1</v>
      </c>
      <c r="E16" s="57">
        <v>11</v>
      </c>
      <c r="F16" s="88" t="s">
        <v>134</v>
      </c>
      <c r="G16" s="88"/>
      <c r="H16" s="89"/>
    </row>
    <row r="17" spans="1:8" ht="21" x14ac:dyDescent="0.25">
      <c r="A17" s="8" t="s">
        <v>54</v>
      </c>
      <c r="B17" s="12" t="s">
        <v>4</v>
      </c>
      <c r="C17" s="40" t="s">
        <v>54</v>
      </c>
      <c r="D17" s="12" t="s">
        <v>63</v>
      </c>
      <c r="E17" s="57">
        <v>12</v>
      </c>
      <c r="F17" s="88" t="s">
        <v>2</v>
      </c>
      <c r="G17" s="88"/>
      <c r="H17" s="89"/>
    </row>
    <row r="18" spans="1:8" ht="21" x14ac:dyDescent="0.25">
      <c r="A18" s="8" t="s">
        <v>55</v>
      </c>
      <c r="B18" s="12" t="s">
        <v>5</v>
      </c>
      <c r="C18" s="40" t="s">
        <v>55</v>
      </c>
      <c r="D18" s="12" t="s">
        <v>5</v>
      </c>
      <c r="E18" s="57">
        <v>13</v>
      </c>
      <c r="F18" s="88" t="s">
        <v>6</v>
      </c>
      <c r="G18" s="88"/>
      <c r="H18" s="89"/>
    </row>
    <row r="19" spans="1:8" ht="21" x14ac:dyDescent="0.25">
      <c r="A19" s="8" t="s">
        <v>56</v>
      </c>
      <c r="B19" s="12" t="s">
        <v>1</v>
      </c>
      <c r="C19" s="40" t="s">
        <v>56</v>
      </c>
      <c r="D19" s="12" t="s">
        <v>8</v>
      </c>
      <c r="E19" s="57">
        <v>14</v>
      </c>
      <c r="F19" s="88" t="s">
        <v>4</v>
      </c>
      <c r="G19" s="88"/>
      <c r="H19" s="89"/>
    </row>
    <row r="20" spans="1:8" ht="22" thickBot="1" x14ac:dyDescent="0.3">
      <c r="A20" s="10" t="s">
        <v>57</v>
      </c>
      <c r="B20" s="13" t="s">
        <v>3</v>
      </c>
      <c r="C20" s="42" t="s">
        <v>57</v>
      </c>
      <c r="D20" s="56" t="s">
        <v>6</v>
      </c>
      <c r="E20" s="58">
        <v>15</v>
      </c>
      <c r="F20" s="90" t="s">
        <v>1</v>
      </c>
      <c r="G20" s="90"/>
      <c r="H20" s="91"/>
    </row>
  </sheetData>
  <mergeCells count="22">
    <mergeCell ref="F6:H6"/>
    <mergeCell ref="A1:D1"/>
    <mergeCell ref="E1:H1"/>
    <mergeCell ref="A2:D2"/>
    <mergeCell ref="A5:D5"/>
    <mergeCell ref="E5:H5"/>
    <mergeCell ref="F7:H7"/>
    <mergeCell ref="F8:H8"/>
    <mergeCell ref="F9:H9"/>
    <mergeCell ref="A10:B10"/>
    <mergeCell ref="C10:D10"/>
    <mergeCell ref="F10:H10"/>
    <mergeCell ref="F17:H17"/>
    <mergeCell ref="F18:H18"/>
    <mergeCell ref="F19:H19"/>
    <mergeCell ref="F20:H20"/>
    <mergeCell ref="F11:H11"/>
    <mergeCell ref="F12:H12"/>
    <mergeCell ref="F13:H13"/>
    <mergeCell ref="F14:H14"/>
    <mergeCell ref="F15:H15"/>
    <mergeCell ref="F16:H16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9852F3F-6D58-1142-B589-32FEB1087343}">
          <x14:formula1>
            <xm:f>Sheet2!$A$2:$A$11</xm:f>
          </x14:formula1>
          <xm:sqref>B11:B20 F6:H20 D6:D9 D3:D4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6D688-76A4-A14F-ABDA-85668AEB5F11}">
  <dimension ref="A1:N20"/>
  <sheetViews>
    <sheetView workbookViewId="0">
      <selection activeCell="D8" sqref="D8"/>
    </sheetView>
  </sheetViews>
  <sheetFormatPr baseColWidth="10" defaultColWidth="11" defaultRowHeight="16" x14ac:dyDescent="0.2"/>
  <cols>
    <col min="4" max="4" width="24" customWidth="1"/>
    <col min="5" max="5" width="14.6640625" customWidth="1"/>
    <col min="11" max="11" width="15.6640625" bestFit="1" customWidth="1"/>
    <col min="12" max="12" width="13.83203125" bestFit="1" customWidth="1"/>
  </cols>
  <sheetData>
    <row r="1" spans="1:14" ht="21" x14ac:dyDescent="0.25">
      <c r="A1" s="95" t="s">
        <v>90</v>
      </c>
      <c r="B1" s="96"/>
      <c r="C1" s="96"/>
      <c r="D1" s="97"/>
      <c r="E1" s="98" t="s">
        <v>89</v>
      </c>
      <c r="F1" s="99"/>
      <c r="G1" s="99"/>
      <c r="H1" s="100"/>
      <c r="K1" s="3" t="s">
        <v>150</v>
      </c>
      <c r="L1" s="3" t="s">
        <v>11</v>
      </c>
      <c r="M1" s="3" t="s">
        <v>14</v>
      </c>
      <c r="N1" s="3" t="s">
        <v>10</v>
      </c>
    </row>
    <row r="2" spans="1:14" ht="21" x14ac:dyDescent="0.25">
      <c r="A2" s="92" t="s">
        <v>11</v>
      </c>
      <c r="B2" s="93"/>
      <c r="C2" s="93"/>
      <c r="D2" s="101"/>
      <c r="E2" s="63" t="s">
        <v>84</v>
      </c>
      <c r="F2" s="2">
        <v>4000</v>
      </c>
      <c r="G2" s="5" t="s">
        <v>86</v>
      </c>
      <c r="H2" s="64">
        <v>15</v>
      </c>
      <c r="J2" s="74" t="s">
        <v>1</v>
      </c>
      <c r="K2" s="2">
        <v>200</v>
      </c>
      <c r="L2" s="2">
        <v>0</v>
      </c>
      <c r="M2" s="2">
        <v>550</v>
      </c>
      <c r="N2" s="2">
        <f>SUM(K2:M2)</f>
        <v>750</v>
      </c>
    </row>
    <row r="3" spans="1:14" ht="21" x14ac:dyDescent="0.25">
      <c r="A3" s="8" t="s">
        <v>12</v>
      </c>
      <c r="B3" s="59">
        <v>0.1</v>
      </c>
      <c r="C3" s="45">
        <f>F4*B3</f>
        <v>250</v>
      </c>
      <c r="D3" s="9" t="s">
        <v>4</v>
      </c>
      <c r="E3" s="63" t="s">
        <v>82</v>
      </c>
      <c r="F3" s="2">
        <f>H2*H3</f>
        <v>1500</v>
      </c>
      <c r="G3" s="5" t="s">
        <v>87</v>
      </c>
      <c r="H3" s="65">
        <v>100</v>
      </c>
      <c r="J3" s="5" t="s">
        <v>0</v>
      </c>
      <c r="K3" s="2">
        <v>400</v>
      </c>
      <c r="L3" s="2">
        <v>0</v>
      </c>
      <c r="M3" s="2">
        <v>0</v>
      </c>
      <c r="N3" s="2">
        <f t="shared" ref="N3:N11" si="0">SUM(K3:M3)</f>
        <v>400</v>
      </c>
    </row>
    <row r="4" spans="1:14" ht="21" x14ac:dyDescent="0.25">
      <c r="A4" s="8" t="s">
        <v>13</v>
      </c>
      <c r="B4" s="59">
        <v>0.05</v>
      </c>
      <c r="C4" s="45">
        <f>F4*B4</f>
        <v>125</v>
      </c>
      <c r="D4" s="9" t="s">
        <v>3</v>
      </c>
      <c r="E4" s="66" t="s">
        <v>85</v>
      </c>
      <c r="F4" s="67">
        <f>F2-F3</f>
        <v>2500</v>
      </c>
      <c r="G4" s="69" t="s">
        <v>88</v>
      </c>
      <c r="H4" s="68">
        <f>B3+B4+B6+B7+B8+B9</f>
        <v>1</v>
      </c>
      <c r="J4" s="74" t="s">
        <v>2</v>
      </c>
      <c r="K4" s="2">
        <v>0</v>
      </c>
      <c r="L4" s="2">
        <v>0</v>
      </c>
      <c r="M4" s="2">
        <v>0</v>
      </c>
      <c r="N4" s="2">
        <f t="shared" si="0"/>
        <v>0</v>
      </c>
    </row>
    <row r="5" spans="1:14" ht="21" x14ac:dyDescent="0.25">
      <c r="A5" s="92" t="s">
        <v>14</v>
      </c>
      <c r="B5" s="93"/>
      <c r="C5" s="93"/>
      <c r="D5" s="93"/>
      <c r="E5" s="102" t="s">
        <v>82</v>
      </c>
      <c r="F5" s="103"/>
      <c r="G5" s="103"/>
      <c r="H5" s="104"/>
      <c r="J5" s="5" t="s">
        <v>4</v>
      </c>
      <c r="K5" s="2">
        <v>300</v>
      </c>
      <c r="L5" s="2">
        <v>250</v>
      </c>
      <c r="M5" s="2">
        <v>400</v>
      </c>
      <c r="N5" s="2">
        <f t="shared" si="0"/>
        <v>950</v>
      </c>
    </row>
    <row r="6" spans="1:14" ht="21" x14ac:dyDescent="0.25">
      <c r="A6" s="8" t="s">
        <v>12</v>
      </c>
      <c r="B6" s="59">
        <v>0.27</v>
      </c>
      <c r="C6" s="61">
        <f>F4*B6</f>
        <v>675</v>
      </c>
      <c r="D6" s="12" t="s">
        <v>3</v>
      </c>
      <c r="E6" s="57">
        <v>1</v>
      </c>
      <c r="F6" s="88" t="s">
        <v>6</v>
      </c>
      <c r="G6" s="88"/>
      <c r="H6" s="89"/>
      <c r="J6" s="74" t="s">
        <v>9</v>
      </c>
      <c r="K6" s="2">
        <v>100</v>
      </c>
      <c r="L6" s="2">
        <v>0</v>
      </c>
      <c r="M6" s="2">
        <v>0</v>
      </c>
      <c r="N6" s="2">
        <f t="shared" si="0"/>
        <v>100</v>
      </c>
    </row>
    <row r="7" spans="1:14" ht="21" x14ac:dyDescent="0.25">
      <c r="A7" s="8" t="s">
        <v>13</v>
      </c>
      <c r="B7" s="59">
        <v>0.22</v>
      </c>
      <c r="C7" s="61">
        <f>F4*B7</f>
        <v>550</v>
      </c>
      <c r="D7" s="12" t="s">
        <v>1</v>
      </c>
      <c r="E7" s="57">
        <v>2</v>
      </c>
      <c r="F7" s="88" t="s">
        <v>1</v>
      </c>
      <c r="G7" s="88"/>
      <c r="H7" s="89"/>
      <c r="J7" s="5" t="s">
        <v>8</v>
      </c>
      <c r="K7" s="2">
        <v>0</v>
      </c>
      <c r="L7" s="2">
        <v>0</v>
      </c>
      <c r="M7" s="2">
        <v>0</v>
      </c>
      <c r="N7" s="2">
        <f t="shared" si="0"/>
        <v>0</v>
      </c>
    </row>
    <row r="8" spans="1:14" ht="21" x14ac:dyDescent="0.25">
      <c r="A8" s="8" t="s">
        <v>15</v>
      </c>
      <c r="B8" s="44">
        <v>0.2</v>
      </c>
      <c r="C8" s="61">
        <f>F4*B8</f>
        <v>500</v>
      </c>
      <c r="D8" s="12" t="s">
        <v>5</v>
      </c>
      <c r="E8" s="57">
        <v>3</v>
      </c>
      <c r="F8" s="88" t="s">
        <v>0</v>
      </c>
      <c r="G8" s="88"/>
      <c r="H8" s="89"/>
      <c r="J8" s="74" t="s">
        <v>7</v>
      </c>
      <c r="K8" s="2">
        <v>100</v>
      </c>
      <c r="L8" s="2">
        <v>0</v>
      </c>
      <c r="M8" s="2">
        <v>0</v>
      </c>
      <c r="N8" s="2">
        <f t="shared" si="0"/>
        <v>100</v>
      </c>
    </row>
    <row r="9" spans="1:14" ht="21" x14ac:dyDescent="0.25">
      <c r="A9" s="10" t="s">
        <v>16</v>
      </c>
      <c r="B9" s="60">
        <v>0.16</v>
      </c>
      <c r="C9" s="62">
        <f>F4*B9</f>
        <v>400</v>
      </c>
      <c r="D9" s="13" t="s">
        <v>4</v>
      </c>
      <c r="E9" s="57">
        <v>4</v>
      </c>
      <c r="F9" s="88" t="s">
        <v>4</v>
      </c>
      <c r="G9" s="88"/>
      <c r="H9" s="89"/>
      <c r="J9" s="5" t="s">
        <v>3</v>
      </c>
      <c r="K9" s="2">
        <v>100</v>
      </c>
      <c r="L9" s="2">
        <v>125</v>
      </c>
      <c r="M9" s="2">
        <v>675</v>
      </c>
      <c r="N9" s="2">
        <f t="shared" si="0"/>
        <v>900</v>
      </c>
    </row>
    <row r="10" spans="1:14" ht="21" x14ac:dyDescent="0.25">
      <c r="A10" s="92" t="s">
        <v>51</v>
      </c>
      <c r="B10" s="93"/>
      <c r="C10" s="94" t="s">
        <v>59</v>
      </c>
      <c r="D10" s="93"/>
      <c r="E10" s="57">
        <v>5</v>
      </c>
      <c r="F10" s="88" t="s">
        <v>0</v>
      </c>
      <c r="G10" s="88"/>
      <c r="H10" s="89"/>
      <c r="J10" s="74" t="s">
        <v>6</v>
      </c>
      <c r="K10" s="2">
        <v>200</v>
      </c>
      <c r="L10" s="2">
        <v>0</v>
      </c>
      <c r="M10" s="2">
        <v>0</v>
      </c>
      <c r="N10" s="2">
        <f t="shared" si="0"/>
        <v>200</v>
      </c>
    </row>
    <row r="11" spans="1:14" ht="21" x14ac:dyDescent="0.25">
      <c r="A11" s="8" t="s">
        <v>12</v>
      </c>
      <c r="B11" s="12" t="s">
        <v>3</v>
      </c>
      <c r="C11" s="40" t="s">
        <v>12</v>
      </c>
      <c r="D11" s="12" t="s">
        <v>4</v>
      </c>
      <c r="E11" s="57">
        <v>6</v>
      </c>
      <c r="F11" s="88" t="s">
        <v>6</v>
      </c>
      <c r="G11" s="88"/>
      <c r="H11" s="89"/>
      <c r="J11" s="5" t="s">
        <v>5</v>
      </c>
      <c r="K11" s="2">
        <v>100</v>
      </c>
      <c r="L11" s="2">
        <v>0</v>
      </c>
      <c r="M11" s="2">
        <v>500</v>
      </c>
      <c r="N11" s="2">
        <f t="shared" si="0"/>
        <v>600</v>
      </c>
    </row>
    <row r="12" spans="1:14" ht="21" x14ac:dyDescent="0.25">
      <c r="A12" s="8" t="s">
        <v>13</v>
      </c>
      <c r="B12" s="12" t="s">
        <v>2</v>
      </c>
      <c r="C12" s="40" t="s">
        <v>13</v>
      </c>
      <c r="D12" s="12" t="s">
        <v>3</v>
      </c>
      <c r="E12" s="57">
        <v>7</v>
      </c>
      <c r="F12" s="88" t="s">
        <v>7</v>
      </c>
      <c r="G12" s="88"/>
      <c r="H12" s="89"/>
      <c r="K12" s="2">
        <f>SUM(K2:K11)</f>
        <v>1500</v>
      </c>
      <c r="L12" s="2">
        <f t="shared" ref="L12:N12" si="1">SUM(L2:L11)</f>
        <v>375</v>
      </c>
      <c r="M12" s="2">
        <f t="shared" si="1"/>
        <v>2125</v>
      </c>
      <c r="N12" s="2">
        <f t="shared" si="1"/>
        <v>4000</v>
      </c>
    </row>
    <row r="13" spans="1:14" ht="21" x14ac:dyDescent="0.25">
      <c r="A13" s="8" t="s">
        <v>15</v>
      </c>
      <c r="B13" s="12" t="s">
        <v>6</v>
      </c>
      <c r="C13" s="40" t="s">
        <v>15</v>
      </c>
      <c r="D13" s="12" t="s">
        <v>5</v>
      </c>
      <c r="E13" s="57">
        <v>8</v>
      </c>
      <c r="F13" s="88" t="s">
        <v>1</v>
      </c>
      <c r="G13" s="88"/>
      <c r="H13" s="89"/>
    </row>
    <row r="14" spans="1:14" ht="21" x14ac:dyDescent="0.25">
      <c r="A14" s="8" t="s">
        <v>16</v>
      </c>
      <c r="B14" s="12" t="s">
        <v>5</v>
      </c>
      <c r="C14" s="40" t="s">
        <v>16</v>
      </c>
      <c r="D14" s="12" t="s">
        <v>1</v>
      </c>
      <c r="E14" s="57">
        <v>9</v>
      </c>
      <c r="F14" s="88" t="s">
        <v>3</v>
      </c>
      <c r="G14" s="88"/>
      <c r="H14" s="89"/>
    </row>
    <row r="15" spans="1:14" ht="21" x14ac:dyDescent="0.25">
      <c r="A15" s="8" t="s">
        <v>52</v>
      </c>
      <c r="B15" s="12" t="s">
        <v>161</v>
      </c>
      <c r="C15" s="40" t="s">
        <v>52</v>
      </c>
      <c r="D15" s="12" t="s">
        <v>0</v>
      </c>
      <c r="E15" s="57">
        <v>10</v>
      </c>
      <c r="F15" s="88" t="s">
        <v>0</v>
      </c>
      <c r="G15" s="88"/>
      <c r="H15" s="89"/>
    </row>
    <row r="16" spans="1:14" ht="21" x14ac:dyDescent="0.25">
      <c r="A16" s="8" t="s">
        <v>53</v>
      </c>
      <c r="B16" s="12" t="s">
        <v>1</v>
      </c>
      <c r="C16" s="40" t="s">
        <v>53</v>
      </c>
      <c r="D16" s="12" t="s">
        <v>6</v>
      </c>
      <c r="E16" s="57">
        <v>11</v>
      </c>
      <c r="F16" s="88" t="s">
        <v>134</v>
      </c>
      <c r="G16" s="88"/>
      <c r="H16" s="89"/>
    </row>
    <row r="17" spans="1:8" ht="21" x14ac:dyDescent="0.25">
      <c r="A17" s="8" t="s">
        <v>54</v>
      </c>
      <c r="B17" s="12" t="s">
        <v>4</v>
      </c>
      <c r="C17" s="40" t="s">
        <v>54</v>
      </c>
      <c r="D17" s="12" t="s">
        <v>7</v>
      </c>
      <c r="E17" s="57">
        <v>12</v>
      </c>
      <c r="F17" s="88" t="s">
        <v>5</v>
      </c>
      <c r="G17" s="88"/>
      <c r="H17" s="89"/>
    </row>
    <row r="18" spans="1:8" ht="21" x14ac:dyDescent="0.25">
      <c r="A18" s="8" t="s">
        <v>55</v>
      </c>
      <c r="B18" s="12" t="s">
        <v>0</v>
      </c>
      <c r="C18" s="40" t="s">
        <v>55</v>
      </c>
      <c r="D18" s="12" t="s">
        <v>134</v>
      </c>
      <c r="E18" s="57">
        <v>13</v>
      </c>
      <c r="F18" s="88" t="s">
        <v>4</v>
      </c>
      <c r="G18" s="88"/>
      <c r="H18" s="89"/>
    </row>
    <row r="19" spans="1:8" ht="21" x14ac:dyDescent="0.25">
      <c r="A19" s="8" t="s">
        <v>56</v>
      </c>
      <c r="B19" s="12" t="s">
        <v>7</v>
      </c>
      <c r="C19" s="40" t="s">
        <v>56</v>
      </c>
      <c r="D19" s="12" t="s">
        <v>2</v>
      </c>
      <c r="E19" s="57">
        <v>14</v>
      </c>
      <c r="F19" s="88" t="s">
        <v>0</v>
      </c>
      <c r="G19" s="88"/>
      <c r="H19" s="89"/>
    </row>
    <row r="20" spans="1:8" ht="22" thickBot="1" x14ac:dyDescent="0.3">
      <c r="A20" s="10" t="s">
        <v>57</v>
      </c>
      <c r="B20" s="13" t="s">
        <v>134</v>
      </c>
      <c r="C20" s="42" t="s">
        <v>57</v>
      </c>
      <c r="D20" s="56" t="s">
        <v>8</v>
      </c>
      <c r="E20" s="58">
        <v>15</v>
      </c>
      <c r="F20" s="90" t="s">
        <v>4</v>
      </c>
      <c r="G20" s="90"/>
      <c r="H20" s="91"/>
    </row>
  </sheetData>
  <mergeCells count="22">
    <mergeCell ref="F17:H17"/>
    <mergeCell ref="F18:H18"/>
    <mergeCell ref="F19:H19"/>
    <mergeCell ref="F20:H20"/>
    <mergeCell ref="F11:H11"/>
    <mergeCell ref="F12:H12"/>
    <mergeCell ref="F13:H13"/>
    <mergeCell ref="F14:H14"/>
    <mergeCell ref="F15:H15"/>
    <mergeCell ref="F16:H16"/>
    <mergeCell ref="F7:H7"/>
    <mergeCell ref="F8:H8"/>
    <mergeCell ref="F9:H9"/>
    <mergeCell ref="A10:B10"/>
    <mergeCell ref="C10:D10"/>
    <mergeCell ref="F10:H10"/>
    <mergeCell ref="F6:H6"/>
    <mergeCell ref="A1:D1"/>
    <mergeCell ref="E1:H1"/>
    <mergeCell ref="A2:D2"/>
    <mergeCell ref="A5:D5"/>
    <mergeCell ref="E5:H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1F52AF1-3819-4010-9681-4F78D2CB8E6E}">
          <x14:formula1>
            <xm:f>Sheet2!$A$2:$A$11</xm:f>
          </x14:formula1>
          <xm:sqref>B11:B20 F6:H20 D6:D9 D3:D4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38FF5-D51C-5042-A8FD-F7082BB32D18}">
  <dimension ref="A1:O26"/>
  <sheetViews>
    <sheetView workbookViewId="0">
      <selection activeCell="O2" sqref="O2"/>
    </sheetView>
  </sheetViews>
  <sheetFormatPr baseColWidth="10" defaultColWidth="11" defaultRowHeight="16" x14ac:dyDescent="0.2"/>
  <cols>
    <col min="3" max="3" width="13" customWidth="1"/>
    <col min="4" max="4" width="19" customWidth="1"/>
    <col min="5" max="5" width="14.1640625" customWidth="1"/>
    <col min="8" max="8" width="8.1640625" bestFit="1" customWidth="1"/>
    <col min="11" max="11" width="15.33203125" bestFit="1" customWidth="1"/>
    <col min="12" max="12" width="13.83203125" bestFit="1" customWidth="1"/>
  </cols>
  <sheetData>
    <row r="1" spans="1:15" ht="21" x14ac:dyDescent="0.25">
      <c r="A1" s="95" t="s">
        <v>79</v>
      </c>
      <c r="B1" s="96"/>
      <c r="C1" s="96"/>
      <c r="D1" s="97"/>
      <c r="E1" s="98" t="s">
        <v>151</v>
      </c>
      <c r="F1" s="99"/>
      <c r="G1" s="99"/>
      <c r="H1" s="100"/>
      <c r="J1" s="75"/>
      <c r="K1" s="70" t="s">
        <v>150</v>
      </c>
      <c r="L1" s="70" t="s">
        <v>11</v>
      </c>
      <c r="M1" s="70" t="s">
        <v>14</v>
      </c>
      <c r="N1" s="71" t="s">
        <v>10</v>
      </c>
      <c r="O1" s="3" t="s">
        <v>152</v>
      </c>
    </row>
    <row r="2" spans="1:15" ht="21" x14ac:dyDescent="0.25">
      <c r="A2" s="92" t="s">
        <v>11</v>
      </c>
      <c r="B2" s="93"/>
      <c r="C2" s="93"/>
      <c r="D2" s="101"/>
      <c r="E2" s="63" t="s">
        <v>84</v>
      </c>
      <c r="F2" s="2">
        <v>3500</v>
      </c>
      <c r="G2" s="5" t="s">
        <v>86</v>
      </c>
      <c r="H2" s="64">
        <v>15</v>
      </c>
      <c r="J2" s="76" t="s">
        <v>1</v>
      </c>
      <c r="K2" s="2">
        <v>100</v>
      </c>
      <c r="L2" s="2">
        <v>0</v>
      </c>
      <c r="M2" s="2">
        <v>0</v>
      </c>
      <c r="N2" s="77">
        <f>SUM(K2:M2)</f>
        <v>100</v>
      </c>
      <c r="O2" s="79">
        <v>22.5</v>
      </c>
    </row>
    <row r="3" spans="1:15" ht="21" x14ac:dyDescent="0.25">
      <c r="A3" s="8" t="s">
        <v>12</v>
      </c>
      <c r="B3" s="59">
        <v>0.1</v>
      </c>
      <c r="C3" s="45">
        <f>F4*B3</f>
        <v>200</v>
      </c>
      <c r="D3" s="81" t="s">
        <v>134</v>
      </c>
      <c r="E3" s="63" t="s">
        <v>82</v>
      </c>
      <c r="F3" s="2">
        <f>H2*H3</f>
        <v>1500</v>
      </c>
      <c r="G3" s="5" t="s">
        <v>87</v>
      </c>
      <c r="H3" s="65">
        <v>100</v>
      </c>
      <c r="J3" s="63" t="s">
        <v>0</v>
      </c>
      <c r="K3" s="2">
        <v>0</v>
      </c>
      <c r="L3" s="2">
        <v>0</v>
      </c>
      <c r="M3" s="2">
        <v>400</v>
      </c>
      <c r="N3" s="77">
        <f t="shared" ref="N3:N11" si="0">SUM(K3:M3)</f>
        <v>400</v>
      </c>
    </row>
    <row r="4" spans="1:15" ht="21" x14ac:dyDescent="0.25">
      <c r="A4" s="8" t="s">
        <v>13</v>
      </c>
      <c r="B4" s="59">
        <v>0.05</v>
      </c>
      <c r="C4" s="45">
        <f>F4*B4</f>
        <v>100</v>
      </c>
      <c r="D4" s="81" t="s">
        <v>4</v>
      </c>
      <c r="E4" s="66" t="s">
        <v>85</v>
      </c>
      <c r="F4" s="67">
        <f>F2-F3</f>
        <v>2000</v>
      </c>
      <c r="G4" s="69" t="s">
        <v>88</v>
      </c>
      <c r="H4" s="68">
        <f>B3+B4+B6+B7+B8+B9</f>
        <v>1</v>
      </c>
      <c r="J4" s="76" t="s">
        <v>2</v>
      </c>
      <c r="K4" s="2">
        <v>100</v>
      </c>
      <c r="L4" s="2">
        <v>0</v>
      </c>
      <c r="M4" s="2">
        <v>0</v>
      </c>
      <c r="N4" s="77">
        <f t="shared" si="0"/>
        <v>100</v>
      </c>
    </row>
    <row r="5" spans="1:15" ht="21" x14ac:dyDescent="0.25">
      <c r="A5" s="92" t="s">
        <v>14</v>
      </c>
      <c r="B5" s="93"/>
      <c r="C5" s="93"/>
      <c r="D5" s="93"/>
      <c r="E5" s="102" t="s">
        <v>82</v>
      </c>
      <c r="F5" s="103"/>
      <c r="G5" s="103"/>
      <c r="H5" s="104"/>
      <c r="J5" s="63" t="s">
        <v>4</v>
      </c>
      <c r="K5" s="2">
        <v>400</v>
      </c>
      <c r="L5" s="2">
        <v>100</v>
      </c>
      <c r="M5" s="2">
        <v>300</v>
      </c>
      <c r="N5" s="77">
        <f t="shared" si="0"/>
        <v>800</v>
      </c>
    </row>
    <row r="6" spans="1:15" ht="21" x14ac:dyDescent="0.25">
      <c r="A6" s="8" t="s">
        <v>12</v>
      </c>
      <c r="B6" s="59">
        <v>0.27500000000000002</v>
      </c>
      <c r="C6" s="61">
        <f>F4*B6</f>
        <v>550</v>
      </c>
      <c r="D6" s="80" t="s">
        <v>134</v>
      </c>
      <c r="E6" s="57">
        <v>1</v>
      </c>
      <c r="F6" s="88" t="s">
        <v>4</v>
      </c>
      <c r="G6" s="88"/>
      <c r="H6" s="89"/>
      <c r="J6" s="76" t="s">
        <v>9</v>
      </c>
      <c r="K6" s="2">
        <v>300</v>
      </c>
      <c r="L6" s="2">
        <v>200</v>
      </c>
      <c r="M6" s="2">
        <v>550</v>
      </c>
      <c r="N6" s="77">
        <f t="shared" si="0"/>
        <v>1050</v>
      </c>
    </row>
    <row r="7" spans="1:15" ht="21" x14ac:dyDescent="0.25">
      <c r="A7" s="8" t="s">
        <v>13</v>
      </c>
      <c r="B7" s="59">
        <v>0.22500000000000001</v>
      </c>
      <c r="C7" s="61">
        <f>F4*B7</f>
        <v>450</v>
      </c>
      <c r="D7" s="80" t="s">
        <v>7</v>
      </c>
      <c r="E7" s="57">
        <v>2</v>
      </c>
      <c r="F7" s="88" t="s">
        <v>134</v>
      </c>
      <c r="G7" s="88"/>
      <c r="H7" s="89"/>
      <c r="J7" s="63" t="s">
        <v>8</v>
      </c>
      <c r="K7" s="2">
        <v>200</v>
      </c>
      <c r="L7" s="2">
        <v>0</v>
      </c>
      <c r="M7" s="2">
        <v>0</v>
      </c>
      <c r="N7" s="77">
        <f t="shared" si="0"/>
        <v>200</v>
      </c>
    </row>
    <row r="8" spans="1:15" ht="21" x14ac:dyDescent="0.25">
      <c r="A8" s="8" t="s">
        <v>15</v>
      </c>
      <c r="B8" s="44">
        <v>0.2</v>
      </c>
      <c r="C8" s="61">
        <f>F4*B8</f>
        <v>400</v>
      </c>
      <c r="D8" s="80" t="s">
        <v>0</v>
      </c>
      <c r="E8" s="57">
        <v>3</v>
      </c>
      <c r="F8" s="88" t="s">
        <v>1</v>
      </c>
      <c r="G8" s="88"/>
      <c r="H8" s="89"/>
      <c r="J8" s="76" t="s">
        <v>7</v>
      </c>
      <c r="K8" s="2">
        <v>100</v>
      </c>
      <c r="L8" s="2">
        <v>0</v>
      </c>
      <c r="M8" s="2">
        <v>450</v>
      </c>
      <c r="N8" s="77">
        <f t="shared" si="0"/>
        <v>550</v>
      </c>
    </row>
    <row r="9" spans="1:15" ht="21" x14ac:dyDescent="0.25">
      <c r="A9" s="10" t="s">
        <v>16</v>
      </c>
      <c r="B9" s="60">
        <v>0.15</v>
      </c>
      <c r="C9" s="62">
        <f>F4*B9</f>
        <v>300</v>
      </c>
      <c r="D9" s="82" t="s">
        <v>4</v>
      </c>
      <c r="E9" s="57">
        <v>4</v>
      </c>
      <c r="F9" s="88" t="s">
        <v>4</v>
      </c>
      <c r="G9" s="88"/>
      <c r="H9" s="89"/>
      <c r="J9" s="63" t="s">
        <v>3</v>
      </c>
      <c r="K9" s="2">
        <v>200</v>
      </c>
      <c r="L9" s="2">
        <v>0</v>
      </c>
      <c r="M9" s="2">
        <v>0</v>
      </c>
      <c r="N9" s="77">
        <f t="shared" si="0"/>
        <v>200</v>
      </c>
    </row>
    <row r="10" spans="1:15" ht="21" x14ac:dyDescent="0.25">
      <c r="A10" s="92" t="s">
        <v>51</v>
      </c>
      <c r="B10" s="93"/>
      <c r="C10" s="94" t="s">
        <v>59</v>
      </c>
      <c r="D10" s="93"/>
      <c r="E10" s="57">
        <v>5</v>
      </c>
      <c r="F10" s="88" t="s">
        <v>6</v>
      </c>
      <c r="G10" s="88"/>
      <c r="H10" s="89"/>
      <c r="J10" s="76" t="s">
        <v>6</v>
      </c>
      <c r="K10" s="2">
        <v>100</v>
      </c>
      <c r="L10" s="2">
        <v>0</v>
      </c>
      <c r="M10" s="2">
        <v>0</v>
      </c>
      <c r="N10" s="77">
        <f t="shared" si="0"/>
        <v>100</v>
      </c>
    </row>
    <row r="11" spans="1:15" ht="21" x14ac:dyDescent="0.25">
      <c r="A11" s="8" t="s">
        <v>12</v>
      </c>
      <c r="B11" s="12" t="s">
        <v>6</v>
      </c>
      <c r="C11" s="40" t="s">
        <v>12</v>
      </c>
      <c r="D11" s="12" t="s">
        <v>134</v>
      </c>
      <c r="E11" s="57">
        <v>6</v>
      </c>
      <c r="F11" s="88" t="s">
        <v>7</v>
      </c>
      <c r="G11" s="88"/>
      <c r="H11" s="89"/>
      <c r="J11" s="66" t="s">
        <v>5</v>
      </c>
      <c r="K11" s="67">
        <v>0</v>
      </c>
      <c r="L11" s="67">
        <v>0</v>
      </c>
      <c r="M11" s="67">
        <v>0</v>
      </c>
      <c r="N11" s="78">
        <f t="shared" si="0"/>
        <v>0</v>
      </c>
    </row>
    <row r="12" spans="1:15" ht="21" x14ac:dyDescent="0.25">
      <c r="A12" s="8" t="s">
        <v>13</v>
      </c>
      <c r="B12" s="12" t="s">
        <v>2</v>
      </c>
      <c r="C12" s="40" t="s">
        <v>13</v>
      </c>
      <c r="D12" s="12" t="s">
        <v>4</v>
      </c>
      <c r="E12" s="57">
        <v>7</v>
      </c>
      <c r="F12" s="88" t="s">
        <v>4</v>
      </c>
      <c r="G12" s="88"/>
      <c r="H12" s="89"/>
      <c r="J12" s="76" t="s">
        <v>10</v>
      </c>
      <c r="K12" s="2">
        <f>SUM(K2:K11)</f>
        <v>1500</v>
      </c>
      <c r="L12" s="2">
        <f t="shared" ref="L12:N12" si="1">SUM(L2:L11)</f>
        <v>300</v>
      </c>
      <c r="M12" s="2">
        <f t="shared" si="1"/>
        <v>1700</v>
      </c>
      <c r="N12" s="2">
        <f t="shared" si="1"/>
        <v>3500</v>
      </c>
    </row>
    <row r="13" spans="1:15" ht="21" x14ac:dyDescent="0.25">
      <c r="A13" s="8" t="s">
        <v>15</v>
      </c>
      <c r="B13" s="12" t="s">
        <v>9</v>
      </c>
      <c r="C13" s="40" t="s">
        <v>15</v>
      </c>
      <c r="D13" s="12" t="s">
        <v>7</v>
      </c>
      <c r="E13" s="57">
        <v>8</v>
      </c>
      <c r="F13" s="88" t="s">
        <v>134</v>
      </c>
      <c r="G13" s="88"/>
      <c r="H13" s="89"/>
    </row>
    <row r="14" spans="1:15" ht="21" x14ac:dyDescent="0.25">
      <c r="A14" s="8" t="s">
        <v>16</v>
      </c>
      <c r="B14" s="12" t="s">
        <v>3</v>
      </c>
      <c r="C14" s="40" t="s">
        <v>16</v>
      </c>
      <c r="D14" s="12" t="s">
        <v>0</v>
      </c>
      <c r="E14" s="57">
        <v>9</v>
      </c>
      <c r="F14" s="88" t="s">
        <v>3</v>
      </c>
      <c r="G14" s="88"/>
      <c r="H14" s="89"/>
    </row>
    <row r="15" spans="1:15" ht="21" x14ac:dyDescent="0.25">
      <c r="A15" s="8" t="s">
        <v>52</v>
      </c>
      <c r="B15" s="12" t="s">
        <v>0</v>
      </c>
      <c r="C15" s="40" t="s">
        <v>52</v>
      </c>
      <c r="D15" s="12" t="s">
        <v>1</v>
      </c>
      <c r="E15" s="57">
        <v>10</v>
      </c>
      <c r="F15" s="88" t="s">
        <v>8</v>
      </c>
      <c r="G15" s="88"/>
      <c r="H15" s="89"/>
    </row>
    <row r="16" spans="1:15" ht="21" x14ac:dyDescent="0.25">
      <c r="A16" s="8" t="s">
        <v>53</v>
      </c>
      <c r="B16" s="12" t="s">
        <v>5</v>
      </c>
      <c r="C16" s="40" t="s">
        <v>53</v>
      </c>
      <c r="D16" s="12" t="s">
        <v>8</v>
      </c>
      <c r="E16" s="57">
        <v>11</v>
      </c>
      <c r="F16" s="88" t="s">
        <v>2</v>
      </c>
      <c r="G16" s="88"/>
      <c r="H16" s="89"/>
    </row>
    <row r="17" spans="1:8" ht="21" x14ac:dyDescent="0.25">
      <c r="A17" s="8" t="s">
        <v>54</v>
      </c>
      <c r="B17" s="12" t="s">
        <v>7</v>
      </c>
      <c r="C17" s="40" t="s">
        <v>54</v>
      </c>
      <c r="D17" s="12" t="s">
        <v>5</v>
      </c>
      <c r="E17" s="57">
        <v>12</v>
      </c>
      <c r="F17" s="88" t="s">
        <v>3</v>
      </c>
      <c r="G17" s="88"/>
      <c r="H17" s="89"/>
    </row>
    <row r="18" spans="1:8" ht="21" x14ac:dyDescent="0.25">
      <c r="A18" s="8" t="s">
        <v>55</v>
      </c>
      <c r="B18" s="12" t="s">
        <v>4</v>
      </c>
      <c r="C18" s="40" t="s">
        <v>55</v>
      </c>
      <c r="D18" s="12" t="s">
        <v>6</v>
      </c>
      <c r="E18" s="57">
        <v>13</v>
      </c>
      <c r="F18" s="88" t="s">
        <v>8</v>
      </c>
      <c r="G18" s="88"/>
      <c r="H18" s="89"/>
    </row>
    <row r="19" spans="1:8" ht="21" x14ac:dyDescent="0.25">
      <c r="A19" s="8" t="s">
        <v>56</v>
      </c>
      <c r="B19" s="12" t="s">
        <v>8</v>
      </c>
      <c r="C19" s="40" t="s">
        <v>56</v>
      </c>
      <c r="D19" s="12" t="s">
        <v>2</v>
      </c>
      <c r="E19" s="57">
        <v>14</v>
      </c>
      <c r="F19" s="88" t="s">
        <v>4</v>
      </c>
      <c r="G19" s="88"/>
      <c r="H19" s="89"/>
    </row>
    <row r="20" spans="1:8" ht="22" thickBot="1" x14ac:dyDescent="0.3">
      <c r="A20" s="10" t="s">
        <v>57</v>
      </c>
      <c r="B20" s="13" t="s">
        <v>1</v>
      </c>
      <c r="C20" s="42" t="s">
        <v>57</v>
      </c>
      <c r="D20" s="56" t="s">
        <v>3</v>
      </c>
      <c r="E20" s="58">
        <v>15</v>
      </c>
      <c r="F20" s="90" t="s">
        <v>134</v>
      </c>
      <c r="G20" s="90"/>
      <c r="H20" s="91"/>
    </row>
    <row r="21" spans="1:8" x14ac:dyDescent="0.2">
      <c r="A21" s="114" t="s">
        <v>77</v>
      </c>
      <c r="B21" s="114"/>
      <c r="C21" s="114"/>
      <c r="D21" s="114"/>
    </row>
    <row r="22" spans="1:8" x14ac:dyDescent="0.2">
      <c r="A22" s="114"/>
      <c r="B22" s="114"/>
      <c r="C22" s="114"/>
      <c r="D22" s="114"/>
    </row>
    <row r="23" spans="1:8" x14ac:dyDescent="0.2">
      <c r="A23" s="114"/>
      <c r="B23" s="114"/>
      <c r="C23" s="114"/>
      <c r="D23" s="114"/>
    </row>
    <row r="24" spans="1:8" x14ac:dyDescent="0.2">
      <c r="A24" s="114"/>
      <c r="B24" s="114"/>
      <c r="C24" s="114"/>
      <c r="D24" s="114"/>
    </row>
    <row r="25" spans="1:8" x14ac:dyDescent="0.2">
      <c r="A25" s="114"/>
      <c r="B25" s="114"/>
      <c r="C25" s="114"/>
      <c r="D25" s="114"/>
    </row>
    <row r="26" spans="1:8" x14ac:dyDescent="0.2">
      <c r="A26" s="114"/>
      <c r="B26" s="114"/>
      <c r="C26" s="114"/>
      <c r="D26" s="114"/>
    </row>
  </sheetData>
  <mergeCells count="23">
    <mergeCell ref="F13:H13"/>
    <mergeCell ref="F14:H14"/>
    <mergeCell ref="E1:H1"/>
    <mergeCell ref="F6:H6"/>
    <mergeCell ref="F7:H7"/>
    <mergeCell ref="F8:H8"/>
    <mergeCell ref="F9:H9"/>
    <mergeCell ref="F20:H20"/>
    <mergeCell ref="E5:H5"/>
    <mergeCell ref="A21:D26"/>
    <mergeCell ref="A1:D1"/>
    <mergeCell ref="A2:D2"/>
    <mergeCell ref="A5:D5"/>
    <mergeCell ref="A10:B10"/>
    <mergeCell ref="C10:D10"/>
    <mergeCell ref="F15:H15"/>
    <mergeCell ref="F17:H17"/>
    <mergeCell ref="F16:H16"/>
    <mergeCell ref="F18:H18"/>
    <mergeCell ref="F19:H19"/>
    <mergeCell ref="F10:H10"/>
    <mergeCell ref="F11:H11"/>
    <mergeCell ref="F12:H12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3981CB-AB00-4EE0-AC38-902F2C4E53C0}">
          <x14:formula1>
            <xm:f>Sheet2!$A$2:$A$11</xm:f>
          </x14:formula1>
          <xm:sqref>D11:D20 F6:H20 D3:D4 D6:D9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5B452-010C-9C47-92D4-019B3025F281}">
  <dimension ref="A1:G27"/>
  <sheetViews>
    <sheetView workbookViewId="0">
      <selection activeCell="G6" sqref="G6"/>
    </sheetView>
  </sheetViews>
  <sheetFormatPr baseColWidth="10" defaultColWidth="11" defaultRowHeight="16" x14ac:dyDescent="0.2"/>
  <cols>
    <col min="1" max="1" width="6" bestFit="1" customWidth="1"/>
    <col min="2" max="2" width="12.5" customWidth="1"/>
    <col min="3" max="3" width="11.6640625" customWidth="1"/>
    <col min="4" max="4" width="18.33203125" customWidth="1"/>
    <col min="7" max="7" width="7.6640625" bestFit="1" customWidth="1"/>
  </cols>
  <sheetData>
    <row r="1" spans="1:6" ht="21" x14ac:dyDescent="0.25">
      <c r="A1" s="95" t="s">
        <v>58</v>
      </c>
      <c r="B1" s="96"/>
      <c r="C1" s="96"/>
      <c r="D1" s="97"/>
      <c r="E1" s="54">
        <v>3500</v>
      </c>
    </row>
    <row r="2" spans="1:6" ht="21" x14ac:dyDescent="0.25">
      <c r="A2" s="92" t="s">
        <v>11</v>
      </c>
      <c r="B2" s="93"/>
      <c r="C2" s="93"/>
      <c r="D2" s="101"/>
      <c r="E2" t="s">
        <v>1</v>
      </c>
      <c r="F2">
        <f>787.5+875</f>
        <v>1662.5</v>
      </c>
    </row>
    <row r="3" spans="1:6" ht="21" x14ac:dyDescent="0.25">
      <c r="A3" s="8" t="s">
        <v>12</v>
      </c>
      <c r="B3" s="44">
        <v>0.22500000000000001</v>
      </c>
      <c r="C3" s="45">
        <f>E1*B3</f>
        <v>787.5</v>
      </c>
      <c r="D3" s="9" t="s">
        <v>1</v>
      </c>
      <c r="E3" t="s">
        <v>8</v>
      </c>
      <c r="F3">
        <f>175+875</f>
        <v>1050</v>
      </c>
    </row>
    <row r="4" spans="1:6" ht="21" x14ac:dyDescent="0.25">
      <c r="A4" s="8" t="s">
        <v>13</v>
      </c>
      <c r="B4" s="46">
        <v>0.05</v>
      </c>
      <c r="C4" s="45">
        <f>E1*B4</f>
        <v>175</v>
      </c>
      <c r="D4" s="9" t="s">
        <v>8</v>
      </c>
      <c r="E4" t="s">
        <v>4</v>
      </c>
      <c r="F4">
        <v>437.5</v>
      </c>
    </row>
    <row r="5" spans="1:6" ht="21" x14ac:dyDescent="0.25">
      <c r="A5" s="92" t="s">
        <v>14</v>
      </c>
      <c r="B5" s="93"/>
      <c r="C5" s="93"/>
      <c r="D5" s="101"/>
      <c r="E5" t="s">
        <v>81</v>
      </c>
      <c r="F5">
        <v>350</v>
      </c>
    </row>
    <row r="6" spans="1:6" ht="21" x14ac:dyDescent="0.25">
      <c r="A6" s="8" t="s">
        <v>12</v>
      </c>
      <c r="B6" s="46">
        <v>0.3</v>
      </c>
      <c r="C6" s="47">
        <f>E1*B6</f>
        <v>1050</v>
      </c>
      <c r="D6" s="9" t="s">
        <v>80</v>
      </c>
      <c r="E6" s="5" t="s">
        <v>10</v>
      </c>
      <c r="F6" s="5">
        <f>SUM(F2:F5)</f>
        <v>3500</v>
      </c>
    </row>
    <row r="7" spans="1:6" ht="21" x14ac:dyDescent="0.25">
      <c r="A7" s="8" t="s">
        <v>13</v>
      </c>
      <c r="B7" s="46">
        <v>0.2</v>
      </c>
      <c r="C7" s="47">
        <f>E1*B7</f>
        <v>700</v>
      </c>
      <c r="D7" s="9" t="s">
        <v>80</v>
      </c>
    </row>
    <row r="8" spans="1:6" ht="21" x14ac:dyDescent="0.25">
      <c r="A8" s="8" t="s">
        <v>15</v>
      </c>
      <c r="B8" s="44">
        <v>0.125</v>
      </c>
      <c r="C8" s="47">
        <f>B8*E1</f>
        <v>437.5</v>
      </c>
      <c r="D8" s="9" t="s">
        <v>4</v>
      </c>
    </row>
    <row r="9" spans="1:6" ht="21" x14ac:dyDescent="0.25">
      <c r="A9" s="10" t="s">
        <v>16</v>
      </c>
      <c r="B9" s="48">
        <v>0.1</v>
      </c>
      <c r="C9" s="49">
        <f>E1*B9</f>
        <v>350</v>
      </c>
      <c r="D9" s="11" t="s">
        <v>7</v>
      </c>
    </row>
    <row r="10" spans="1:6" ht="21" x14ac:dyDescent="0.25">
      <c r="A10" s="92" t="s">
        <v>51</v>
      </c>
      <c r="B10" s="93"/>
      <c r="C10" s="94" t="s">
        <v>59</v>
      </c>
      <c r="D10" s="115"/>
    </row>
    <row r="11" spans="1:6" ht="21" x14ac:dyDescent="0.25">
      <c r="A11" s="8" t="s">
        <v>12</v>
      </c>
      <c r="B11" s="12" t="s">
        <v>6</v>
      </c>
      <c r="C11" s="40" t="s">
        <v>12</v>
      </c>
      <c r="D11" s="41" t="s">
        <v>1</v>
      </c>
    </row>
    <row r="12" spans="1:6" ht="21" x14ac:dyDescent="0.25">
      <c r="A12" s="8" t="s">
        <v>13</v>
      </c>
      <c r="B12" s="12" t="s">
        <v>7</v>
      </c>
      <c r="C12" s="40" t="s">
        <v>13</v>
      </c>
      <c r="D12" s="41" t="s">
        <v>8</v>
      </c>
    </row>
    <row r="13" spans="1:6" ht="21" x14ac:dyDescent="0.25">
      <c r="A13" s="8" t="s">
        <v>15</v>
      </c>
      <c r="B13" s="12" t="s">
        <v>4</v>
      </c>
      <c r="C13" s="40" t="s">
        <v>15</v>
      </c>
      <c r="D13" s="41" t="s">
        <v>4</v>
      </c>
    </row>
    <row r="14" spans="1:6" ht="21" x14ac:dyDescent="0.25">
      <c r="A14" s="8" t="s">
        <v>16</v>
      </c>
      <c r="B14" s="12" t="s">
        <v>5</v>
      </c>
      <c r="C14" s="40" t="s">
        <v>16</v>
      </c>
      <c r="D14" s="41" t="s">
        <v>7</v>
      </c>
    </row>
    <row r="15" spans="1:6" ht="21" x14ac:dyDescent="0.25">
      <c r="A15" s="8" t="s">
        <v>52</v>
      </c>
      <c r="B15" s="12" t="s">
        <v>8</v>
      </c>
      <c r="C15" s="40" t="s">
        <v>52</v>
      </c>
      <c r="D15" s="41" t="s">
        <v>5</v>
      </c>
    </row>
    <row r="16" spans="1:6" ht="21" x14ac:dyDescent="0.25">
      <c r="A16" s="8" t="s">
        <v>53</v>
      </c>
      <c r="B16" s="12" t="s">
        <v>9</v>
      </c>
      <c r="C16" s="40" t="s">
        <v>53</v>
      </c>
      <c r="D16" s="41" t="s">
        <v>0</v>
      </c>
    </row>
    <row r="17" spans="1:7" ht="21" x14ac:dyDescent="0.25">
      <c r="A17" s="8" t="s">
        <v>54</v>
      </c>
      <c r="B17" s="12" t="s">
        <v>3</v>
      </c>
      <c r="C17" s="40" t="s">
        <v>54</v>
      </c>
      <c r="D17" s="41" t="s">
        <v>3</v>
      </c>
    </row>
    <row r="18" spans="1:7" ht="21" x14ac:dyDescent="0.25">
      <c r="A18" s="8" t="s">
        <v>55</v>
      </c>
      <c r="B18" s="12" t="s">
        <v>0</v>
      </c>
      <c r="C18" s="40" t="s">
        <v>55</v>
      </c>
      <c r="D18" s="41" t="s">
        <v>9</v>
      </c>
    </row>
    <row r="19" spans="1:7" ht="21" x14ac:dyDescent="0.25">
      <c r="A19" s="8" t="s">
        <v>56</v>
      </c>
      <c r="B19" s="12" t="s">
        <v>2</v>
      </c>
      <c r="C19" s="40" t="s">
        <v>56</v>
      </c>
      <c r="D19" s="41" t="s">
        <v>2</v>
      </c>
    </row>
    <row r="20" spans="1:7" ht="22" thickBot="1" x14ac:dyDescent="0.3">
      <c r="A20" s="10" t="s">
        <v>57</v>
      </c>
      <c r="B20" s="13" t="s">
        <v>1</v>
      </c>
      <c r="C20" s="42" t="s">
        <v>57</v>
      </c>
      <c r="D20" s="43" t="s">
        <v>6</v>
      </c>
    </row>
    <row r="21" spans="1:7" ht="16" customHeight="1" x14ac:dyDescent="0.2">
      <c r="A21" s="114" t="s">
        <v>78</v>
      </c>
      <c r="B21" s="114"/>
      <c r="C21" s="114"/>
      <c r="D21" s="114"/>
      <c r="E21" s="39"/>
      <c r="F21" s="39"/>
      <c r="G21" s="39"/>
    </row>
    <row r="22" spans="1:7" x14ac:dyDescent="0.2">
      <c r="A22" s="114"/>
      <c r="B22" s="114"/>
      <c r="C22" s="114"/>
      <c r="D22" s="114"/>
      <c r="E22" s="39"/>
      <c r="F22" s="39"/>
      <c r="G22" s="39"/>
    </row>
    <row r="23" spans="1:7" x14ac:dyDescent="0.2">
      <c r="A23" s="114"/>
      <c r="B23" s="114"/>
      <c r="C23" s="114"/>
      <c r="D23" s="114"/>
      <c r="E23" s="39"/>
      <c r="F23" s="39"/>
      <c r="G23" s="39"/>
    </row>
    <row r="24" spans="1:7" x14ac:dyDescent="0.2">
      <c r="A24" s="114"/>
      <c r="B24" s="114"/>
      <c r="C24" s="114"/>
      <c r="D24" s="114"/>
      <c r="E24" s="39"/>
      <c r="F24" s="39"/>
      <c r="G24" s="39"/>
    </row>
    <row r="25" spans="1:7" x14ac:dyDescent="0.2">
      <c r="A25" s="114"/>
      <c r="B25" s="114"/>
      <c r="C25" s="114"/>
      <c r="D25" s="114"/>
      <c r="E25" s="39"/>
      <c r="F25" s="39"/>
      <c r="G25" s="39"/>
    </row>
    <row r="26" spans="1:7" x14ac:dyDescent="0.2">
      <c r="A26" s="114"/>
      <c r="B26" s="114"/>
      <c r="C26" s="114"/>
      <c r="D26" s="114"/>
      <c r="E26" s="39"/>
      <c r="F26" s="39"/>
      <c r="G26" s="39"/>
    </row>
    <row r="27" spans="1:7" x14ac:dyDescent="0.2">
      <c r="A27" s="39"/>
      <c r="B27" s="39"/>
      <c r="C27" s="39"/>
      <c r="D27" s="39"/>
      <c r="E27" s="39"/>
      <c r="F27" s="39"/>
      <c r="G27" s="39"/>
    </row>
  </sheetData>
  <mergeCells count="6">
    <mergeCell ref="A21:D26"/>
    <mergeCell ref="C10:D10"/>
    <mergeCell ref="A2:D2"/>
    <mergeCell ref="A5:D5"/>
    <mergeCell ref="A1:D1"/>
    <mergeCell ref="A10:B10"/>
  </mergeCells>
  <phoneticPr fontId="6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A63C5-8990-E242-9C79-BB2217A7F993}">
  <dimension ref="A1:D20"/>
  <sheetViews>
    <sheetView workbookViewId="0">
      <selection activeCell="J15" sqref="J15"/>
    </sheetView>
  </sheetViews>
  <sheetFormatPr baseColWidth="10" defaultColWidth="11" defaultRowHeight="16" x14ac:dyDescent="0.2"/>
  <cols>
    <col min="3" max="3" width="12.33203125" customWidth="1"/>
    <col min="4" max="4" width="18.83203125" customWidth="1"/>
  </cols>
  <sheetData>
    <row r="1" spans="1:4" ht="21" x14ac:dyDescent="0.25">
      <c r="A1" s="95" t="s">
        <v>73</v>
      </c>
      <c r="B1" s="96"/>
      <c r="C1" s="96"/>
      <c r="D1" s="97"/>
    </row>
    <row r="2" spans="1:4" ht="21" x14ac:dyDescent="0.25">
      <c r="A2" s="92" t="s">
        <v>11</v>
      </c>
      <c r="B2" s="93"/>
      <c r="C2" s="93"/>
      <c r="D2" s="101"/>
    </row>
    <row r="3" spans="1:4" ht="21" x14ac:dyDescent="0.25">
      <c r="A3" s="8" t="s">
        <v>12</v>
      </c>
      <c r="B3" s="44">
        <v>0.22500000000000001</v>
      </c>
      <c r="C3" s="45">
        <f>3000*B3</f>
        <v>675</v>
      </c>
      <c r="D3" s="9" t="s">
        <v>2</v>
      </c>
    </row>
    <row r="4" spans="1:4" ht="21" x14ac:dyDescent="0.25">
      <c r="A4" s="8" t="s">
        <v>13</v>
      </c>
      <c r="B4" s="46">
        <v>0.05</v>
      </c>
      <c r="C4" s="45">
        <f>3000*B4</f>
        <v>150</v>
      </c>
      <c r="D4" s="9" t="s">
        <v>0</v>
      </c>
    </row>
    <row r="5" spans="1:4" ht="21" x14ac:dyDescent="0.25">
      <c r="A5" s="92" t="s">
        <v>14</v>
      </c>
      <c r="B5" s="93"/>
      <c r="C5" s="93"/>
      <c r="D5" s="101"/>
    </row>
    <row r="6" spans="1:4" ht="21" x14ac:dyDescent="0.25">
      <c r="A6" s="8" t="s">
        <v>12</v>
      </c>
      <c r="B6" s="46">
        <v>0.3</v>
      </c>
      <c r="C6" s="47">
        <f>3000*B6</f>
        <v>900</v>
      </c>
      <c r="D6" s="9" t="s">
        <v>1</v>
      </c>
    </row>
    <row r="7" spans="1:4" ht="21" x14ac:dyDescent="0.25">
      <c r="A7" s="8" t="s">
        <v>13</v>
      </c>
      <c r="B7" s="46">
        <v>0.2</v>
      </c>
      <c r="C7" s="47">
        <f t="shared" ref="C7:C9" si="0">3000*B7</f>
        <v>600</v>
      </c>
      <c r="D7" s="9" t="s">
        <v>2</v>
      </c>
    </row>
    <row r="8" spans="1:4" ht="21" x14ac:dyDescent="0.25">
      <c r="A8" s="8" t="s">
        <v>15</v>
      </c>
      <c r="B8" s="44">
        <v>0.125</v>
      </c>
      <c r="C8" s="47">
        <f t="shared" si="0"/>
        <v>375</v>
      </c>
      <c r="D8" s="9" t="s">
        <v>0</v>
      </c>
    </row>
    <row r="9" spans="1:4" ht="21" x14ac:dyDescent="0.25">
      <c r="A9" s="10" t="s">
        <v>16</v>
      </c>
      <c r="B9" s="48">
        <v>0.1</v>
      </c>
      <c r="C9" s="49">
        <f t="shared" si="0"/>
        <v>300</v>
      </c>
      <c r="D9" s="11" t="s">
        <v>3</v>
      </c>
    </row>
    <row r="10" spans="1:4" ht="21" x14ac:dyDescent="0.25">
      <c r="A10" s="92" t="s">
        <v>51</v>
      </c>
      <c r="B10" s="93"/>
      <c r="C10" s="94" t="s">
        <v>59</v>
      </c>
      <c r="D10" s="115"/>
    </row>
    <row r="11" spans="1:4" ht="21" x14ac:dyDescent="0.25">
      <c r="A11" s="8" t="s">
        <v>12</v>
      </c>
      <c r="B11" s="12" t="s">
        <v>3</v>
      </c>
      <c r="C11" s="40" t="s">
        <v>12</v>
      </c>
      <c r="D11" s="41" t="s">
        <v>2</v>
      </c>
    </row>
    <row r="12" spans="1:4" ht="21" x14ac:dyDescent="0.25">
      <c r="A12" s="8" t="s">
        <v>13</v>
      </c>
      <c r="B12" s="12" t="s">
        <v>9</v>
      </c>
      <c r="C12" s="40" t="s">
        <v>13</v>
      </c>
      <c r="D12" s="41" t="s">
        <v>0</v>
      </c>
    </row>
    <row r="13" spans="1:4" ht="21" x14ac:dyDescent="0.25">
      <c r="A13" s="8" t="s">
        <v>15</v>
      </c>
      <c r="B13" s="12" t="s">
        <v>8</v>
      </c>
      <c r="C13" s="40" t="s">
        <v>15</v>
      </c>
      <c r="D13" s="41" t="s">
        <v>1</v>
      </c>
    </row>
    <row r="14" spans="1:4" ht="21" x14ac:dyDescent="0.25">
      <c r="A14" s="8" t="s">
        <v>16</v>
      </c>
      <c r="B14" s="12" t="s">
        <v>7</v>
      </c>
      <c r="C14" s="40" t="s">
        <v>16</v>
      </c>
      <c r="D14" s="41" t="s">
        <v>3</v>
      </c>
    </row>
    <row r="15" spans="1:4" ht="21" x14ac:dyDescent="0.25">
      <c r="A15" s="8" t="s">
        <v>52</v>
      </c>
      <c r="B15" s="12" t="s">
        <v>6</v>
      </c>
      <c r="C15" s="40" t="s">
        <v>52</v>
      </c>
      <c r="D15" s="41" t="s">
        <v>9</v>
      </c>
    </row>
    <row r="16" spans="1:4" ht="21" x14ac:dyDescent="0.25">
      <c r="A16" s="8" t="s">
        <v>53</v>
      </c>
      <c r="B16" s="12" t="s">
        <v>5</v>
      </c>
      <c r="C16" s="40" t="s">
        <v>53</v>
      </c>
      <c r="D16" s="41" t="s">
        <v>8</v>
      </c>
    </row>
    <row r="17" spans="1:4" ht="21" x14ac:dyDescent="0.25">
      <c r="A17" s="8" t="s">
        <v>54</v>
      </c>
      <c r="B17" s="12" t="s">
        <v>4</v>
      </c>
      <c r="C17" s="40" t="s">
        <v>54</v>
      </c>
      <c r="D17" s="41" t="s">
        <v>5</v>
      </c>
    </row>
    <row r="18" spans="1:4" ht="21" x14ac:dyDescent="0.25">
      <c r="A18" s="8" t="s">
        <v>55</v>
      </c>
      <c r="B18" s="12" t="s">
        <v>2</v>
      </c>
      <c r="C18" s="40" t="s">
        <v>55</v>
      </c>
      <c r="D18" s="41" t="s">
        <v>4</v>
      </c>
    </row>
    <row r="19" spans="1:4" ht="21" x14ac:dyDescent="0.25">
      <c r="A19" s="8" t="s">
        <v>56</v>
      </c>
      <c r="B19" s="12" t="s">
        <v>0</v>
      </c>
      <c r="C19" s="40" t="s">
        <v>56</v>
      </c>
      <c r="D19" s="41" t="s">
        <v>7</v>
      </c>
    </row>
    <row r="20" spans="1:4" ht="22" thickBot="1" x14ac:dyDescent="0.3">
      <c r="A20" s="10" t="s">
        <v>57</v>
      </c>
      <c r="B20" s="13" t="s">
        <v>1</v>
      </c>
      <c r="C20" s="42" t="s">
        <v>57</v>
      </c>
      <c r="D20" s="43" t="s">
        <v>6</v>
      </c>
    </row>
  </sheetData>
  <mergeCells count="5">
    <mergeCell ref="A1:D1"/>
    <mergeCell ref="A2:D2"/>
    <mergeCell ref="A5:D5"/>
    <mergeCell ref="A10:B10"/>
    <mergeCell ref="C10:D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0ED8D-E8C3-8E4C-A644-42EF0C46E744}">
  <dimension ref="A1:D20"/>
  <sheetViews>
    <sheetView workbookViewId="0">
      <selection activeCell="F17" sqref="F17"/>
    </sheetView>
  </sheetViews>
  <sheetFormatPr baseColWidth="10" defaultColWidth="11" defaultRowHeight="16" x14ac:dyDescent="0.2"/>
  <cols>
    <col min="2" max="2" width="12.33203125" customWidth="1"/>
    <col min="3" max="3" width="14.1640625" customWidth="1"/>
    <col min="4" max="4" width="17.1640625" customWidth="1"/>
  </cols>
  <sheetData>
    <row r="1" spans="1:4" ht="21" x14ac:dyDescent="0.25">
      <c r="A1" s="95" t="s">
        <v>72</v>
      </c>
      <c r="B1" s="96"/>
      <c r="C1" s="96"/>
      <c r="D1" s="97"/>
    </row>
    <row r="2" spans="1:4" ht="21" x14ac:dyDescent="0.25">
      <c r="A2" s="92" t="s">
        <v>11</v>
      </c>
      <c r="B2" s="93"/>
      <c r="C2" s="93"/>
      <c r="D2" s="101"/>
    </row>
    <row r="3" spans="1:4" ht="21" x14ac:dyDescent="0.25">
      <c r="A3" s="8" t="s">
        <v>12</v>
      </c>
      <c r="B3" s="44">
        <v>0.22500000000000001</v>
      </c>
      <c r="C3" s="45">
        <f>2500*B3</f>
        <v>562.5</v>
      </c>
      <c r="D3" s="9" t="s">
        <v>0</v>
      </c>
    </row>
    <row r="4" spans="1:4" ht="21" x14ac:dyDescent="0.25">
      <c r="A4" s="8" t="s">
        <v>13</v>
      </c>
      <c r="B4" s="46">
        <v>0.05</v>
      </c>
      <c r="C4" s="45">
        <f>2500*B4</f>
        <v>125</v>
      </c>
      <c r="D4" s="9" t="s">
        <v>4</v>
      </c>
    </row>
    <row r="5" spans="1:4" ht="21" x14ac:dyDescent="0.25">
      <c r="A5" s="92" t="s">
        <v>14</v>
      </c>
      <c r="B5" s="93"/>
      <c r="C5" s="93"/>
      <c r="D5" s="101"/>
    </row>
    <row r="6" spans="1:4" ht="21" x14ac:dyDescent="0.25">
      <c r="A6" s="8" t="s">
        <v>12</v>
      </c>
      <c r="B6" s="46">
        <v>0.3</v>
      </c>
      <c r="C6" s="47">
        <f>2500*B6</f>
        <v>750</v>
      </c>
      <c r="D6" s="9" t="s">
        <v>1</v>
      </c>
    </row>
    <row r="7" spans="1:4" ht="21" x14ac:dyDescent="0.25">
      <c r="A7" s="8" t="s">
        <v>13</v>
      </c>
      <c r="B7" s="46">
        <v>0.2</v>
      </c>
      <c r="C7" s="47">
        <f t="shared" ref="C7:C9" si="0">2500*B7</f>
        <v>500</v>
      </c>
      <c r="D7" s="9" t="s">
        <v>0</v>
      </c>
    </row>
    <row r="8" spans="1:4" ht="21" x14ac:dyDescent="0.25">
      <c r="A8" s="8" t="s">
        <v>15</v>
      </c>
      <c r="B8" s="44">
        <v>0.125</v>
      </c>
      <c r="C8" s="47">
        <f t="shared" si="0"/>
        <v>312.5</v>
      </c>
      <c r="D8" s="9" t="s">
        <v>2</v>
      </c>
    </row>
    <row r="9" spans="1:4" ht="22" thickBot="1" x14ac:dyDescent="0.3">
      <c r="A9" s="10" t="s">
        <v>16</v>
      </c>
      <c r="B9" s="48">
        <v>0.1</v>
      </c>
      <c r="C9" s="47">
        <f t="shared" si="0"/>
        <v>250</v>
      </c>
      <c r="D9" s="9" t="s">
        <v>4</v>
      </c>
    </row>
    <row r="10" spans="1:4" ht="21" x14ac:dyDescent="0.25">
      <c r="A10" s="92" t="s">
        <v>51</v>
      </c>
      <c r="B10" s="93"/>
      <c r="C10" s="116" t="s">
        <v>59</v>
      </c>
      <c r="D10" s="117"/>
    </row>
    <row r="11" spans="1:4" ht="21" x14ac:dyDescent="0.25">
      <c r="A11" s="8" t="s">
        <v>12</v>
      </c>
      <c r="B11" s="12" t="s">
        <v>2</v>
      </c>
      <c r="C11" s="40" t="s">
        <v>12</v>
      </c>
      <c r="D11" s="41" t="s">
        <v>0</v>
      </c>
    </row>
    <row r="12" spans="1:4" ht="21" x14ac:dyDescent="0.25">
      <c r="A12" s="8" t="s">
        <v>13</v>
      </c>
      <c r="B12" s="12" t="s">
        <v>8</v>
      </c>
      <c r="C12" s="40" t="s">
        <v>13</v>
      </c>
      <c r="D12" s="41" t="s">
        <v>4</v>
      </c>
    </row>
    <row r="13" spans="1:4" ht="21" x14ac:dyDescent="0.25">
      <c r="A13" s="8" t="s">
        <v>15</v>
      </c>
      <c r="B13" s="12" t="s">
        <v>0</v>
      </c>
      <c r="C13" s="40" t="s">
        <v>15</v>
      </c>
      <c r="D13" s="41" t="s">
        <v>1</v>
      </c>
    </row>
    <row r="14" spans="1:4" ht="21" x14ac:dyDescent="0.25">
      <c r="A14" s="8" t="s">
        <v>16</v>
      </c>
      <c r="B14" s="12" t="s">
        <v>5</v>
      </c>
      <c r="C14" s="40" t="s">
        <v>16</v>
      </c>
      <c r="D14" s="41" t="s">
        <v>2</v>
      </c>
    </row>
    <row r="15" spans="1:4" ht="21" x14ac:dyDescent="0.25">
      <c r="A15" s="8" t="s">
        <v>52</v>
      </c>
      <c r="B15" s="12" t="s">
        <v>7</v>
      </c>
      <c r="C15" s="40" t="s">
        <v>52</v>
      </c>
      <c r="D15" s="41" t="s">
        <v>5</v>
      </c>
    </row>
    <row r="16" spans="1:4" ht="21" x14ac:dyDescent="0.25">
      <c r="A16" s="8" t="s">
        <v>53</v>
      </c>
      <c r="B16" s="12" t="s">
        <v>6</v>
      </c>
      <c r="C16" s="40" t="s">
        <v>53</v>
      </c>
      <c r="D16" s="41" t="s">
        <v>6</v>
      </c>
    </row>
    <row r="17" spans="1:4" ht="21" x14ac:dyDescent="0.25">
      <c r="A17" s="8" t="s">
        <v>54</v>
      </c>
      <c r="B17" s="12" t="s">
        <v>3</v>
      </c>
      <c r="C17" s="40" t="s">
        <v>54</v>
      </c>
      <c r="D17" s="41" t="s">
        <v>7</v>
      </c>
    </row>
    <row r="18" spans="1:4" ht="21" x14ac:dyDescent="0.25">
      <c r="A18" s="8" t="s">
        <v>55</v>
      </c>
      <c r="B18" s="12" t="s">
        <v>4</v>
      </c>
      <c r="C18" s="40" t="s">
        <v>55</v>
      </c>
      <c r="D18" s="41" t="s">
        <v>8</v>
      </c>
    </row>
    <row r="19" spans="1:4" ht="21" x14ac:dyDescent="0.25">
      <c r="A19" s="8" t="s">
        <v>56</v>
      </c>
      <c r="B19" s="12" t="s">
        <v>9</v>
      </c>
      <c r="C19" s="40" t="s">
        <v>56</v>
      </c>
      <c r="D19" s="41" t="s">
        <v>9</v>
      </c>
    </row>
    <row r="20" spans="1:4" ht="22" thickBot="1" x14ac:dyDescent="0.3">
      <c r="A20" s="10" t="s">
        <v>57</v>
      </c>
      <c r="B20" s="13" t="s">
        <v>1</v>
      </c>
      <c r="C20" s="42" t="s">
        <v>57</v>
      </c>
      <c r="D20" s="43" t="s">
        <v>3</v>
      </c>
    </row>
  </sheetData>
  <mergeCells count="5">
    <mergeCell ref="A1:D1"/>
    <mergeCell ref="A2:D2"/>
    <mergeCell ref="A5:D5"/>
    <mergeCell ref="A10:B10"/>
    <mergeCell ref="C10:D1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CF222-A51B-C841-B3C0-4646C63EB949}">
  <dimension ref="A1:D20"/>
  <sheetViews>
    <sheetView workbookViewId="0">
      <selection activeCell="K20" sqref="K20"/>
    </sheetView>
  </sheetViews>
  <sheetFormatPr baseColWidth="10" defaultColWidth="11" defaultRowHeight="16" x14ac:dyDescent="0.2"/>
  <cols>
    <col min="1" max="1" width="6.33203125" bestFit="1" customWidth="1"/>
    <col min="2" max="2" width="9" style="1" bestFit="1" customWidth="1"/>
    <col min="3" max="3" width="11.5" style="1" bestFit="1" customWidth="1"/>
    <col min="4" max="4" width="10" style="1" bestFit="1" customWidth="1"/>
    <col min="5" max="5" width="2.33203125" customWidth="1"/>
    <col min="6" max="6" width="7.6640625" customWidth="1"/>
    <col min="7" max="7" width="15.1640625" customWidth="1"/>
  </cols>
  <sheetData>
    <row r="1" spans="1:4" ht="21" x14ac:dyDescent="0.25">
      <c r="A1" s="118" t="s">
        <v>60</v>
      </c>
      <c r="B1" s="119"/>
      <c r="C1" s="119"/>
      <c r="D1" s="120"/>
    </row>
    <row r="2" spans="1:4" ht="21" x14ac:dyDescent="0.25">
      <c r="A2" s="118" t="s">
        <v>11</v>
      </c>
      <c r="B2" s="119"/>
      <c r="C2" s="119"/>
      <c r="D2" s="120"/>
    </row>
    <row r="3" spans="1:4" ht="21" x14ac:dyDescent="0.25">
      <c r="A3" s="17" t="s">
        <v>12</v>
      </c>
      <c r="B3" s="28">
        <v>0.22500000000000001</v>
      </c>
      <c r="C3" s="29">
        <f>2000*B3</f>
        <v>450</v>
      </c>
      <c r="D3" s="30" t="s">
        <v>9</v>
      </c>
    </row>
    <row r="4" spans="1:4" ht="21" x14ac:dyDescent="0.25">
      <c r="A4" s="17" t="s">
        <v>13</v>
      </c>
      <c r="B4" s="31">
        <v>0.05</v>
      </c>
      <c r="C4" s="29">
        <f>2000*B4</f>
        <v>100</v>
      </c>
      <c r="D4" s="30" t="s">
        <v>1</v>
      </c>
    </row>
    <row r="5" spans="1:4" ht="21" x14ac:dyDescent="0.25">
      <c r="A5" s="121" t="s">
        <v>14</v>
      </c>
      <c r="B5" s="122"/>
      <c r="C5" s="122"/>
      <c r="D5" s="123"/>
    </row>
    <row r="6" spans="1:4" ht="21" x14ac:dyDescent="0.25">
      <c r="A6" s="17" t="s">
        <v>12</v>
      </c>
      <c r="B6" s="31">
        <v>0.3</v>
      </c>
      <c r="C6" s="32">
        <f>2000*B6</f>
        <v>600</v>
      </c>
      <c r="D6" s="30" t="s">
        <v>1</v>
      </c>
    </row>
    <row r="7" spans="1:4" ht="21" x14ac:dyDescent="0.25">
      <c r="A7" s="17" t="s">
        <v>13</v>
      </c>
      <c r="B7" s="31">
        <v>0.2</v>
      </c>
      <c r="C7" s="32">
        <f>2000*B7</f>
        <v>400</v>
      </c>
      <c r="D7" s="30" t="s">
        <v>9</v>
      </c>
    </row>
    <row r="8" spans="1:4" ht="21" x14ac:dyDescent="0.25">
      <c r="A8" s="17" t="s">
        <v>15</v>
      </c>
      <c r="B8" s="28">
        <v>0.125</v>
      </c>
      <c r="C8" s="32">
        <f>2000*B8</f>
        <v>250</v>
      </c>
      <c r="D8" s="30" t="s">
        <v>4</v>
      </c>
    </row>
    <row r="9" spans="1:4" ht="21" x14ac:dyDescent="0.25">
      <c r="A9" s="22" t="s">
        <v>16</v>
      </c>
      <c r="B9" s="33">
        <v>0.1</v>
      </c>
      <c r="C9" s="34">
        <f>2000*B9</f>
        <v>200</v>
      </c>
      <c r="D9" s="35" t="s">
        <v>3</v>
      </c>
    </row>
    <row r="10" spans="1:4" ht="21" x14ac:dyDescent="0.25">
      <c r="A10" s="95" t="s">
        <v>59</v>
      </c>
      <c r="B10" s="96"/>
      <c r="C10" s="96"/>
      <c r="D10" s="97"/>
    </row>
    <row r="11" spans="1:4" ht="21" x14ac:dyDescent="0.25">
      <c r="A11" s="36" t="s">
        <v>12</v>
      </c>
      <c r="B11" s="124" t="s">
        <v>9</v>
      </c>
      <c r="C11" s="124"/>
      <c r="D11" s="124"/>
    </row>
    <row r="12" spans="1:4" ht="21" x14ac:dyDescent="0.25">
      <c r="A12" s="36" t="s">
        <v>13</v>
      </c>
      <c r="B12" s="124" t="s">
        <v>1</v>
      </c>
      <c r="C12" s="124"/>
      <c r="D12" s="124"/>
    </row>
    <row r="13" spans="1:4" ht="21" x14ac:dyDescent="0.25">
      <c r="A13" s="36" t="s">
        <v>15</v>
      </c>
      <c r="B13" s="124" t="s">
        <v>4</v>
      </c>
      <c r="C13" s="124"/>
      <c r="D13" s="124"/>
    </row>
    <row r="14" spans="1:4" ht="21" x14ac:dyDescent="0.25">
      <c r="A14" s="36" t="s">
        <v>16</v>
      </c>
      <c r="B14" s="124" t="s">
        <v>3</v>
      </c>
      <c r="C14" s="124"/>
      <c r="D14" s="124"/>
    </row>
    <row r="15" spans="1:4" ht="21" x14ac:dyDescent="0.25">
      <c r="A15" s="36" t="s">
        <v>52</v>
      </c>
      <c r="B15" s="124" t="s">
        <v>6</v>
      </c>
      <c r="C15" s="124"/>
      <c r="D15" s="124"/>
    </row>
    <row r="16" spans="1:4" ht="21" x14ac:dyDescent="0.25">
      <c r="A16" s="36" t="s">
        <v>53</v>
      </c>
      <c r="B16" s="124" t="s">
        <v>7</v>
      </c>
      <c r="C16" s="124"/>
      <c r="D16" s="124"/>
    </row>
    <row r="17" spans="1:4" ht="21" x14ac:dyDescent="0.25">
      <c r="A17" s="36" t="s">
        <v>54</v>
      </c>
      <c r="B17" s="124" t="s">
        <v>5</v>
      </c>
      <c r="C17" s="124"/>
      <c r="D17" s="124"/>
    </row>
    <row r="18" spans="1:4" ht="21" x14ac:dyDescent="0.25">
      <c r="A18" s="36" t="s">
        <v>55</v>
      </c>
      <c r="B18" s="124" t="s">
        <v>0</v>
      </c>
      <c r="C18" s="124"/>
      <c r="D18" s="124"/>
    </row>
    <row r="19" spans="1:4" ht="21" x14ac:dyDescent="0.25">
      <c r="A19" s="36" t="s">
        <v>56</v>
      </c>
      <c r="B19" s="124" t="s">
        <v>8</v>
      </c>
      <c r="C19" s="124"/>
      <c r="D19" s="124"/>
    </row>
    <row r="20" spans="1:4" ht="21" x14ac:dyDescent="0.25">
      <c r="A20" s="37" t="s">
        <v>57</v>
      </c>
      <c r="B20" s="125" t="s">
        <v>2</v>
      </c>
      <c r="C20" s="125"/>
      <c r="D20" s="126"/>
    </row>
  </sheetData>
  <mergeCells count="14">
    <mergeCell ref="B19:D19"/>
    <mergeCell ref="B20:D20"/>
    <mergeCell ref="A10:D10"/>
    <mergeCell ref="B11:D11"/>
    <mergeCell ref="B12:D12"/>
    <mergeCell ref="B13:D13"/>
    <mergeCell ref="B14:D14"/>
    <mergeCell ref="B15:D15"/>
    <mergeCell ref="B16:D16"/>
    <mergeCell ref="A1:D1"/>
    <mergeCell ref="A5:D5"/>
    <mergeCell ref="A2:D2"/>
    <mergeCell ref="B17:D17"/>
    <mergeCell ref="B18:D18"/>
  </mergeCells>
  <phoneticPr fontId="6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5CE9C-B993-E744-9FC1-0119451B6C63}">
  <dimension ref="A1:D9"/>
  <sheetViews>
    <sheetView workbookViewId="0">
      <selection activeCell="F11" sqref="F11"/>
    </sheetView>
  </sheetViews>
  <sheetFormatPr baseColWidth="10" defaultColWidth="11" defaultRowHeight="16" x14ac:dyDescent="0.2"/>
  <cols>
    <col min="1" max="1" width="5.1640625" bestFit="1" customWidth="1"/>
    <col min="2" max="2" width="9" bestFit="1" customWidth="1"/>
    <col min="3" max="3" width="11.5" bestFit="1" customWidth="1"/>
    <col min="4" max="4" width="9.5" bestFit="1" customWidth="1"/>
  </cols>
  <sheetData>
    <row r="1" spans="1:4" ht="21" x14ac:dyDescent="0.25">
      <c r="A1" s="118" t="s">
        <v>61</v>
      </c>
      <c r="B1" s="119"/>
      <c r="C1" s="119"/>
      <c r="D1" s="127"/>
    </row>
    <row r="2" spans="1:4" ht="21" x14ac:dyDescent="0.25">
      <c r="A2" s="121" t="s">
        <v>11</v>
      </c>
      <c r="B2" s="122"/>
      <c r="C2" s="122"/>
      <c r="D2" s="128"/>
    </row>
    <row r="3" spans="1:4" ht="21" x14ac:dyDescent="0.25">
      <c r="A3" s="17" t="s">
        <v>12</v>
      </c>
      <c r="B3" s="18">
        <v>0.22500000000000001</v>
      </c>
      <c r="C3" s="19">
        <v>337.5</v>
      </c>
      <c r="D3" s="20" t="s">
        <v>2</v>
      </c>
    </row>
    <row r="4" spans="1:4" ht="21" x14ac:dyDescent="0.25">
      <c r="A4" s="17" t="s">
        <v>13</v>
      </c>
      <c r="B4" s="21">
        <v>0.05</v>
      </c>
      <c r="C4" s="19">
        <v>75</v>
      </c>
      <c r="D4" s="20" t="s">
        <v>0</v>
      </c>
    </row>
    <row r="5" spans="1:4" ht="21" x14ac:dyDescent="0.25">
      <c r="A5" s="121" t="s">
        <v>14</v>
      </c>
      <c r="B5" s="122"/>
      <c r="C5" s="122"/>
      <c r="D5" s="128"/>
    </row>
    <row r="6" spans="1:4" ht="21" x14ac:dyDescent="0.25">
      <c r="A6" s="17" t="s">
        <v>12</v>
      </c>
      <c r="B6" s="21">
        <v>0.3</v>
      </c>
      <c r="C6" s="19">
        <v>450</v>
      </c>
      <c r="D6" s="20" t="s">
        <v>0</v>
      </c>
    </row>
    <row r="7" spans="1:4" ht="21" x14ac:dyDescent="0.25">
      <c r="A7" s="17" t="s">
        <v>13</v>
      </c>
      <c r="B7" s="21">
        <v>0.2</v>
      </c>
      <c r="C7" s="19">
        <v>300</v>
      </c>
      <c r="D7" s="20" t="s">
        <v>6</v>
      </c>
    </row>
    <row r="8" spans="1:4" ht="21" x14ac:dyDescent="0.25">
      <c r="A8" s="17" t="s">
        <v>15</v>
      </c>
      <c r="B8" s="18">
        <v>0.125</v>
      </c>
      <c r="C8" s="19">
        <v>187.5</v>
      </c>
      <c r="D8" s="20" t="s">
        <v>7</v>
      </c>
    </row>
    <row r="9" spans="1:4" ht="21" x14ac:dyDescent="0.25">
      <c r="A9" s="22" t="s">
        <v>16</v>
      </c>
      <c r="B9" s="23">
        <v>0.1</v>
      </c>
      <c r="C9" s="24">
        <v>150</v>
      </c>
      <c r="D9" s="25" t="s">
        <v>2</v>
      </c>
    </row>
  </sheetData>
  <mergeCells count="3">
    <mergeCell ref="A1:D1"/>
    <mergeCell ref="A2:D2"/>
    <mergeCell ref="A5:D5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EC5762-DE67-AC4B-A890-234EE47B42BA}">
  <dimension ref="A1:D9"/>
  <sheetViews>
    <sheetView workbookViewId="0">
      <selection sqref="A1:D9"/>
    </sheetView>
  </sheetViews>
  <sheetFormatPr baseColWidth="10" defaultColWidth="11" defaultRowHeight="16" x14ac:dyDescent="0.2"/>
  <cols>
    <col min="1" max="1" width="5.1640625" bestFit="1" customWidth="1"/>
    <col min="2" max="2" width="9" bestFit="1" customWidth="1"/>
    <col min="3" max="3" width="11.5" bestFit="1" customWidth="1"/>
    <col min="4" max="4" width="9" bestFit="1" customWidth="1"/>
  </cols>
  <sheetData>
    <row r="1" spans="1:4" ht="21" x14ac:dyDescent="0.25">
      <c r="A1" s="118" t="s">
        <v>62</v>
      </c>
      <c r="B1" s="119"/>
      <c r="C1" s="119"/>
      <c r="D1" s="120"/>
    </row>
    <row r="2" spans="1:4" ht="21" x14ac:dyDescent="0.25">
      <c r="A2" s="121" t="s">
        <v>11</v>
      </c>
      <c r="B2" s="122"/>
      <c r="C2" s="122"/>
      <c r="D2" s="123"/>
    </row>
    <row r="3" spans="1:4" ht="21" x14ac:dyDescent="0.25">
      <c r="A3" s="17" t="s">
        <v>12</v>
      </c>
      <c r="B3" s="18">
        <v>0.22500000000000001</v>
      </c>
      <c r="C3" s="26">
        <f>1250*B3</f>
        <v>281.25</v>
      </c>
      <c r="D3" s="9" t="s">
        <v>7</v>
      </c>
    </row>
    <row r="4" spans="1:4" ht="21" x14ac:dyDescent="0.25">
      <c r="A4" s="17" t="s">
        <v>13</v>
      </c>
      <c r="B4" s="21">
        <v>0.05</v>
      </c>
      <c r="C4" s="26">
        <f>1250*B4</f>
        <v>62.5</v>
      </c>
      <c r="D4" s="9" t="s">
        <v>63</v>
      </c>
    </row>
    <row r="5" spans="1:4" ht="21" x14ac:dyDescent="0.25">
      <c r="A5" s="121" t="s">
        <v>14</v>
      </c>
      <c r="B5" s="122"/>
      <c r="C5" s="122"/>
      <c r="D5" s="123"/>
    </row>
    <row r="6" spans="1:4" ht="21" x14ac:dyDescent="0.25">
      <c r="A6" s="17" t="s">
        <v>12</v>
      </c>
      <c r="B6" s="21">
        <v>0.3</v>
      </c>
      <c r="C6" s="26">
        <f>1250*B6</f>
        <v>375</v>
      </c>
      <c r="D6" s="9" t="s">
        <v>63</v>
      </c>
    </row>
    <row r="7" spans="1:4" ht="21" x14ac:dyDescent="0.25">
      <c r="A7" s="17" t="s">
        <v>13</v>
      </c>
      <c r="B7" s="21">
        <v>0.2</v>
      </c>
      <c r="C7" s="26">
        <f t="shared" ref="C7:C9" si="0">1250*B7</f>
        <v>250</v>
      </c>
      <c r="D7" s="9" t="s">
        <v>4</v>
      </c>
    </row>
    <row r="8" spans="1:4" ht="21" x14ac:dyDescent="0.25">
      <c r="A8" s="17" t="s">
        <v>15</v>
      </c>
      <c r="B8" s="18">
        <v>0.125</v>
      </c>
      <c r="C8" s="26">
        <f t="shared" si="0"/>
        <v>156.25</v>
      </c>
      <c r="D8" s="9" t="s">
        <v>3</v>
      </c>
    </row>
    <row r="9" spans="1:4" ht="21" x14ac:dyDescent="0.25">
      <c r="A9" s="22" t="s">
        <v>16</v>
      </c>
      <c r="B9" s="23">
        <v>0.1</v>
      </c>
      <c r="C9" s="27">
        <f t="shared" si="0"/>
        <v>125</v>
      </c>
      <c r="D9" s="11" t="s">
        <v>7</v>
      </c>
    </row>
  </sheetData>
  <mergeCells count="3">
    <mergeCell ref="A1:D1"/>
    <mergeCell ref="A2:D2"/>
    <mergeCell ref="A5:D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9E87C-6C40-EE48-A942-0C394A4F3124}">
  <dimension ref="A1:D9"/>
  <sheetViews>
    <sheetView workbookViewId="0">
      <selection activeCell="G8" sqref="G8"/>
    </sheetView>
  </sheetViews>
  <sheetFormatPr baseColWidth="10" defaultColWidth="11" defaultRowHeight="16" x14ac:dyDescent="0.2"/>
  <cols>
    <col min="1" max="1" width="5.1640625" bestFit="1" customWidth="1"/>
    <col min="2" max="2" width="9" bestFit="1" customWidth="1"/>
    <col min="3" max="3" width="11.5" bestFit="1" customWidth="1"/>
    <col min="4" max="4" width="10" bestFit="1" customWidth="1"/>
  </cols>
  <sheetData>
    <row r="1" spans="1:4" ht="21" x14ac:dyDescent="0.25">
      <c r="A1" s="118" t="s">
        <v>64</v>
      </c>
      <c r="B1" s="119"/>
      <c r="C1" s="119"/>
      <c r="D1" s="120"/>
    </row>
    <row r="2" spans="1:4" ht="21" x14ac:dyDescent="0.25">
      <c r="A2" s="121" t="s">
        <v>11</v>
      </c>
      <c r="B2" s="122"/>
      <c r="C2" s="122"/>
      <c r="D2" s="123"/>
    </row>
    <row r="3" spans="1:4" ht="21" x14ac:dyDescent="0.25">
      <c r="A3" s="17" t="s">
        <v>12</v>
      </c>
      <c r="B3" s="18">
        <v>0.22500000000000001</v>
      </c>
      <c r="C3" s="26">
        <f>1000*B3</f>
        <v>225</v>
      </c>
      <c r="D3" s="9" t="s">
        <v>9</v>
      </c>
    </row>
    <row r="4" spans="1:4" ht="21" x14ac:dyDescent="0.25">
      <c r="A4" s="17" t="s">
        <v>13</v>
      </c>
      <c r="B4" s="21">
        <v>0.05</v>
      </c>
      <c r="C4" s="26">
        <f>1000*B4</f>
        <v>50</v>
      </c>
      <c r="D4" s="9" t="s">
        <v>6</v>
      </c>
    </row>
    <row r="5" spans="1:4" ht="21" x14ac:dyDescent="0.25">
      <c r="A5" s="121" t="s">
        <v>14</v>
      </c>
      <c r="B5" s="122"/>
      <c r="C5" s="122"/>
      <c r="D5" s="123"/>
    </row>
    <row r="6" spans="1:4" ht="21" x14ac:dyDescent="0.25">
      <c r="A6" s="17" t="s">
        <v>12</v>
      </c>
      <c r="B6" s="21">
        <v>0.3</v>
      </c>
      <c r="C6" s="26">
        <f>1000*B6</f>
        <v>300</v>
      </c>
      <c r="D6" s="9" t="s">
        <v>4</v>
      </c>
    </row>
    <row r="7" spans="1:4" ht="21" x14ac:dyDescent="0.25">
      <c r="A7" s="17" t="s">
        <v>13</v>
      </c>
      <c r="B7" s="21">
        <v>0.2</v>
      </c>
      <c r="C7" s="26">
        <f t="shared" ref="C7:C9" si="0">1000*B7</f>
        <v>200</v>
      </c>
      <c r="D7" s="9" t="s">
        <v>0</v>
      </c>
    </row>
    <row r="8" spans="1:4" ht="21" x14ac:dyDescent="0.25">
      <c r="A8" s="17" t="s">
        <v>15</v>
      </c>
      <c r="B8" s="18">
        <v>0.125</v>
      </c>
      <c r="C8" s="26">
        <f t="shared" si="0"/>
        <v>125</v>
      </c>
      <c r="D8" s="9" t="s">
        <v>9</v>
      </c>
    </row>
    <row r="9" spans="1:4" ht="21" x14ac:dyDescent="0.25">
      <c r="A9" s="22" t="s">
        <v>16</v>
      </c>
      <c r="B9" s="23">
        <v>0.1</v>
      </c>
      <c r="C9" s="27">
        <f t="shared" si="0"/>
        <v>100</v>
      </c>
      <c r="D9" s="11" t="s">
        <v>6</v>
      </c>
    </row>
  </sheetData>
  <mergeCells count="3">
    <mergeCell ref="A1:D1"/>
    <mergeCell ref="A2:D2"/>
    <mergeCell ref="A5:D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E080E-A04B-438C-9B2E-3E0FF8B90B85}">
  <dimension ref="A1:E43"/>
  <sheetViews>
    <sheetView workbookViewId="0">
      <selection activeCell="A6" sqref="A6"/>
    </sheetView>
  </sheetViews>
  <sheetFormatPr baseColWidth="10" defaultColWidth="8.83203125" defaultRowHeight="16" x14ac:dyDescent="0.2"/>
  <cols>
    <col min="3" max="3" width="20.1640625" bestFit="1" customWidth="1"/>
  </cols>
  <sheetData>
    <row r="1" spans="1:5" x14ac:dyDescent="0.2">
      <c r="A1" t="s">
        <v>135</v>
      </c>
      <c r="C1" t="s">
        <v>136</v>
      </c>
      <c r="E1" t="s">
        <v>137</v>
      </c>
    </row>
    <row r="2" spans="1:5" x14ac:dyDescent="0.2">
      <c r="A2" t="s">
        <v>134</v>
      </c>
      <c r="C2" s="72" t="s">
        <v>92</v>
      </c>
      <c r="E2" t="s">
        <v>138</v>
      </c>
    </row>
    <row r="3" spans="1:5" x14ac:dyDescent="0.2">
      <c r="A3" t="s">
        <v>0</v>
      </c>
      <c r="C3" s="73" t="s">
        <v>93</v>
      </c>
      <c r="E3" t="s">
        <v>139</v>
      </c>
    </row>
    <row r="4" spans="1:5" x14ac:dyDescent="0.2">
      <c r="A4" t="s">
        <v>3</v>
      </c>
      <c r="C4" s="72" t="s">
        <v>94</v>
      </c>
      <c r="E4" t="s">
        <v>140</v>
      </c>
    </row>
    <row r="5" spans="1:5" x14ac:dyDescent="0.2">
      <c r="A5" t="s">
        <v>8</v>
      </c>
      <c r="C5" s="73" t="s">
        <v>95</v>
      </c>
      <c r="E5" t="s">
        <v>141</v>
      </c>
    </row>
    <row r="6" spans="1:5" x14ac:dyDescent="0.2">
      <c r="A6" t="s">
        <v>2</v>
      </c>
      <c r="C6" s="72" t="s">
        <v>96</v>
      </c>
      <c r="E6" t="s">
        <v>142</v>
      </c>
    </row>
    <row r="7" spans="1:5" x14ac:dyDescent="0.2">
      <c r="A7" t="s">
        <v>5</v>
      </c>
      <c r="C7" s="73" t="s">
        <v>97</v>
      </c>
      <c r="E7" t="s">
        <v>143</v>
      </c>
    </row>
    <row r="8" spans="1:5" x14ac:dyDescent="0.2">
      <c r="A8" t="s">
        <v>6</v>
      </c>
      <c r="C8" s="72" t="s">
        <v>98</v>
      </c>
      <c r="E8" t="s">
        <v>144</v>
      </c>
    </row>
    <row r="9" spans="1:5" x14ac:dyDescent="0.2">
      <c r="A9" t="s">
        <v>1</v>
      </c>
      <c r="C9" s="73" t="s">
        <v>133</v>
      </c>
      <c r="E9" t="s">
        <v>145</v>
      </c>
    </row>
    <row r="10" spans="1:5" x14ac:dyDescent="0.2">
      <c r="A10" t="s">
        <v>4</v>
      </c>
      <c r="C10" s="72" t="s">
        <v>99</v>
      </c>
      <c r="E10" t="s">
        <v>146</v>
      </c>
    </row>
    <row r="11" spans="1:5" x14ac:dyDescent="0.2">
      <c r="A11" t="s">
        <v>7</v>
      </c>
      <c r="C11" s="73" t="s">
        <v>100</v>
      </c>
      <c r="E11" t="s">
        <v>147</v>
      </c>
    </row>
    <row r="12" spans="1:5" x14ac:dyDescent="0.2">
      <c r="C12" s="72" t="s">
        <v>101</v>
      </c>
      <c r="E12" t="s">
        <v>148</v>
      </c>
    </row>
    <row r="13" spans="1:5" x14ac:dyDescent="0.2">
      <c r="C13" s="73" t="s">
        <v>102</v>
      </c>
      <c r="E13" t="s">
        <v>149</v>
      </c>
    </row>
    <row r="14" spans="1:5" x14ac:dyDescent="0.2">
      <c r="C14" s="72" t="s">
        <v>103</v>
      </c>
    </row>
    <row r="15" spans="1:5" x14ac:dyDescent="0.2">
      <c r="C15" s="73" t="s">
        <v>104</v>
      </c>
    </row>
    <row r="16" spans="1:5" x14ac:dyDescent="0.2">
      <c r="C16" s="72" t="s">
        <v>105</v>
      </c>
    </row>
    <row r="17" spans="3:3" x14ac:dyDescent="0.2">
      <c r="C17" s="73" t="s">
        <v>106</v>
      </c>
    </row>
    <row r="18" spans="3:3" x14ac:dyDescent="0.2">
      <c r="C18" s="72" t="s">
        <v>107</v>
      </c>
    </row>
    <row r="19" spans="3:3" x14ac:dyDescent="0.2">
      <c r="C19" s="73" t="s">
        <v>108</v>
      </c>
    </row>
    <row r="20" spans="3:3" x14ac:dyDescent="0.2">
      <c r="C20" s="72" t="s">
        <v>109</v>
      </c>
    </row>
    <row r="21" spans="3:3" x14ac:dyDescent="0.2">
      <c r="C21" s="73" t="s">
        <v>110</v>
      </c>
    </row>
    <row r="22" spans="3:3" x14ac:dyDescent="0.2">
      <c r="C22" s="72" t="s">
        <v>111</v>
      </c>
    </row>
    <row r="23" spans="3:3" x14ac:dyDescent="0.2">
      <c r="C23" s="73" t="s">
        <v>112</v>
      </c>
    </row>
    <row r="24" spans="3:3" x14ac:dyDescent="0.2">
      <c r="C24" s="72" t="s">
        <v>113</v>
      </c>
    </row>
    <row r="25" spans="3:3" x14ac:dyDescent="0.2">
      <c r="C25" s="73" t="s">
        <v>114</v>
      </c>
    </row>
    <row r="26" spans="3:3" x14ac:dyDescent="0.2">
      <c r="C26" s="72" t="s">
        <v>115</v>
      </c>
    </row>
    <row r="27" spans="3:3" x14ac:dyDescent="0.2">
      <c r="C27" s="73" t="s">
        <v>116</v>
      </c>
    </row>
    <row r="28" spans="3:3" x14ac:dyDescent="0.2">
      <c r="C28" s="72" t="s">
        <v>117</v>
      </c>
    </row>
    <row r="29" spans="3:3" x14ac:dyDescent="0.2">
      <c r="C29" s="73" t="s">
        <v>118</v>
      </c>
    </row>
    <row r="30" spans="3:3" x14ac:dyDescent="0.2">
      <c r="C30" s="72" t="s">
        <v>119</v>
      </c>
    </row>
    <row r="31" spans="3:3" x14ac:dyDescent="0.2">
      <c r="C31" s="73" t="s">
        <v>120</v>
      </c>
    </row>
    <row r="32" spans="3:3" x14ac:dyDescent="0.2">
      <c r="C32" s="72" t="s">
        <v>121</v>
      </c>
    </row>
    <row r="33" spans="3:3" x14ac:dyDescent="0.2">
      <c r="C33" s="73" t="s">
        <v>122</v>
      </c>
    </row>
    <row r="34" spans="3:3" x14ac:dyDescent="0.2">
      <c r="C34" s="72" t="s">
        <v>123</v>
      </c>
    </row>
    <row r="35" spans="3:3" x14ac:dyDescent="0.2">
      <c r="C35" s="73" t="s">
        <v>124</v>
      </c>
    </row>
    <row r="36" spans="3:3" x14ac:dyDescent="0.2">
      <c r="C36" s="72" t="s">
        <v>125</v>
      </c>
    </row>
    <row r="37" spans="3:3" x14ac:dyDescent="0.2">
      <c r="C37" s="73" t="s">
        <v>126</v>
      </c>
    </row>
    <row r="38" spans="3:3" x14ac:dyDescent="0.2">
      <c r="C38" s="72" t="s">
        <v>127</v>
      </c>
    </row>
    <row r="39" spans="3:3" x14ac:dyDescent="0.2">
      <c r="C39" s="73" t="s">
        <v>128</v>
      </c>
    </row>
    <row r="40" spans="3:3" x14ac:dyDescent="0.2">
      <c r="C40" s="72" t="s">
        <v>129</v>
      </c>
    </row>
    <row r="41" spans="3:3" x14ac:dyDescent="0.2">
      <c r="C41" s="73" t="s">
        <v>130</v>
      </c>
    </row>
    <row r="42" spans="3:3" x14ac:dyDescent="0.2">
      <c r="C42" s="72" t="s">
        <v>131</v>
      </c>
    </row>
    <row r="43" spans="3:3" x14ac:dyDescent="0.2">
      <c r="C43" s="73" t="s">
        <v>132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CA6D57C-6DD1-4A11-AB04-8FDC0D75A8A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Total Winnings</vt:lpstr>
      <vt:lpstr>Payments</vt:lpstr>
      <vt:lpstr>Votes</vt:lpstr>
      <vt:lpstr>Rules-Roster</vt:lpstr>
      <vt:lpstr>2027</vt:lpstr>
      <vt:lpstr>2026</vt:lpstr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Cory Simms</dc:creator>
  <cp:lastModifiedBy>Cory Simms</cp:lastModifiedBy>
  <dcterms:created xsi:type="dcterms:W3CDTF">2022-06-25T18:39:32Z</dcterms:created>
  <dcterms:modified xsi:type="dcterms:W3CDTF">2026-03-23T15:12:00Z</dcterms:modified>
</cp:coreProperties>
</file>